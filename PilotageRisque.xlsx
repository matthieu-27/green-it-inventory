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Matt\Downloads\"/>
    </mc:Choice>
  </mc:AlternateContent>
  <xr:revisionPtr revIDLastSave="0" documentId="13_ncr:1_{C74F04ED-3D2F-44C1-80AD-637D41D52584}" xr6:coauthVersionLast="47" xr6:coauthVersionMax="47" xr10:uidLastSave="{00000000-0000-0000-0000-000000000000}"/>
  <bookViews>
    <workbookView xWindow="28680" yWindow="-120" windowWidth="29040" windowHeight="15720" tabRatio="756" firstSheet="3" activeTab="3" xr2:uid="{4DEE9F2C-744A-4F6D-9D3B-5E651EAA2116}"/>
  </bookViews>
  <sheets>
    <sheet name="Guide utilisateur" sheetId="18" r:id="rId1"/>
    <sheet name="Introduction" sheetId="17" r:id="rId2"/>
    <sheet name="Aide aux risques" sheetId="20" r:id="rId3"/>
    <sheet name="Risques et Actions" sheetId="19" r:id="rId4"/>
    <sheet name="AMDEC" sheetId="22" r:id="rId5"/>
    <sheet name="Facteurs de notation (AMDEC)" sheetId="23" r:id="rId6"/>
    <sheet name="Produit" sheetId="8" state="hidden" r:id="rId7"/>
    <sheet name="Produit rapport" sheetId="9" state="hidden" r:id="rId8"/>
  </sheets>
  <externalReferences>
    <externalReference r:id="rId9"/>
    <externalReference r:id="rId10"/>
  </externalReferences>
  <definedNames>
    <definedName name="Catégories">'Aide aux risques'!$B$43:$B$48</definedName>
    <definedName name="Introduction" localSheetId="2">[1]!ok</definedName>
    <definedName name="Introduction" localSheetId="4">[1]!ok</definedName>
    <definedName name="Introduction" localSheetId="5">[1]!ok</definedName>
    <definedName name="Introduction" localSheetId="0">[1]!ok</definedName>
    <definedName name="Introduction" localSheetId="3">[1]!ok</definedName>
    <definedName name="Introduction">[1]!ok</definedName>
    <definedName name="mois">#REF!</definedName>
    <definedName name="Niveaux">#REF!</definedName>
    <definedName name="ok" localSheetId="2">[1]!ok</definedName>
    <definedName name="ok" localSheetId="4">[1]!ok</definedName>
    <definedName name="ok" localSheetId="5">[1]!ok</definedName>
    <definedName name="ok" localSheetId="0">[1]!ok</definedName>
    <definedName name="ok" localSheetId="1">[1]!ok</definedName>
    <definedName name="ok" localSheetId="3">[1]!ok</definedName>
    <definedName name="ok">[1]!ok</definedName>
    <definedName name="_xlnm.Print_Area" localSheetId="4">AMDEC!$A$1:$AE$38</definedName>
    <definedName name="_xlnm.Print_Area" localSheetId="7">'Produit rapport'!$D$1:$N$32</definedName>
    <definedName name="_xlnm.Print_Area" localSheetId="3">'Risques et Actions'!$A$1:$R$38</definedName>
    <definedName name="Sources">#REF!</definedName>
    <definedName name="travel">'[2]Suivi Travel'!$U$7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9" l="1"/>
  <c r="K12" i="19"/>
  <c r="K13" i="19"/>
  <c r="K14" i="19"/>
  <c r="K15" i="19"/>
  <c r="K16" i="19"/>
  <c r="K17" i="19"/>
  <c r="K18" i="19"/>
  <c r="K19" i="19"/>
  <c r="K20" i="19"/>
  <c r="K21" i="19"/>
  <c r="K10" i="19"/>
  <c r="AB38" i="22"/>
  <c r="AA38" i="22"/>
  <c r="V38" i="22"/>
  <c r="U38" i="22"/>
  <c r="N38" i="22"/>
  <c r="AD38" i="22" s="1"/>
  <c r="M38" i="22"/>
  <c r="AB37" i="22"/>
  <c r="AA37" i="22"/>
  <c r="V37" i="22"/>
  <c r="U37" i="22"/>
  <c r="N37" i="22"/>
  <c r="AD37" i="22" s="1"/>
  <c r="M37" i="22"/>
  <c r="AB36" i="22"/>
  <c r="AA36" i="22"/>
  <c r="V36" i="22"/>
  <c r="U36" i="22"/>
  <c r="N36" i="22"/>
  <c r="AD36" i="22" s="1"/>
  <c r="M36" i="22"/>
  <c r="AB35" i="22"/>
  <c r="AA35" i="22"/>
  <c r="V35" i="22"/>
  <c r="U35" i="22"/>
  <c r="N35" i="22"/>
  <c r="AD35" i="22" s="1"/>
  <c r="M35" i="22"/>
  <c r="AB34" i="22"/>
  <c r="AA34" i="22"/>
  <c r="V34" i="22"/>
  <c r="U34" i="22"/>
  <c r="N34" i="22"/>
  <c r="AD34" i="22" s="1"/>
  <c r="M34" i="22"/>
  <c r="AB33" i="22"/>
  <c r="AA33" i="22"/>
  <c r="V33" i="22"/>
  <c r="U33" i="22"/>
  <c r="N33" i="22"/>
  <c r="AD33" i="22" s="1"/>
  <c r="M33" i="22"/>
  <c r="AB32" i="22"/>
  <c r="AA32" i="22"/>
  <c r="V32" i="22"/>
  <c r="U32" i="22"/>
  <c r="N32" i="22"/>
  <c r="AD32" i="22" s="1"/>
  <c r="M32" i="22"/>
  <c r="AB31" i="22"/>
  <c r="AA31" i="22"/>
  <c r="V31" i="22"/>
  <c r="U31" i="22"/>
  <c r="N31" i="22"/>
  <c r="AD31" i="22" s="1"/>
  <c r="M31" i="22"/>
  <c r="AB30" i="22"/>
  <c r="AA30" i="22"/>
  <c r="V30" i="22"/>
  <c r="U30" i="22"/>
  <c r="N30" i="22"/>
  <c r="AD30" i="22" s="1"/>
  <c r="M30" i="22"/>
  <c r="AB29" i="22"/>
  <c r="AA29" i="22"/>
  <c r="V29" i="22"/>
  <c r="U29" i="22"/>
  <c r="N29" i="22"/>
  <c r="AD29" i="22" s="1"/>
  <c r="M29" i="22"/>
  <c r="AB28" i="22"/>
  <c r="AA28" i="22"/>
  <c r="V28" i="22"/>
  <c r="U28" i="22"/>
  <c r="N28" i="22"/>
  <c r="AD28" i="22" s="1"/>
  <c r="M28" i="22"/>
  <c r="AB27" i="22"/>
  <c r="AA27" i="22"/>
  <c r="V27" i="22"/>
  <c r="U27" i="22"/>
  <c r="N27" i="22"/>
  <c r="AD27" i="22" s="1"/>
  <c r="M27" i="22"/>
  <c r="AB26" i="22"/>
  <c r="AA26" i="22"/>
  <c r="V26" i="22"/>
  <c r="U26" i="22"/>
  <c r="N26" i="22"/>
  <c r="AD26" i="22" s="1"/>
  <c r="M26" i="22"/>
  <c r="AB25" i="22"/>
  <c r="AA25" i="22"/>
  <c r="V25" i="22"/>
  <c r="U25" i="22"/>
  <c r="N25" i="22"/>
  <c r="AD25" i="22" s="1"/>
  <c r="M25" i="22"/>
  <c r="AB24" i="22"/>
  <c r="AA24" i="22"/>
  <c r="V24" i="22"/>
  <c r="U24" i="22"/>
  <c r="N24" i="22"/>
  <c r="AD24" i="22" s="1"/>
  <c r="M24" i="22"/>
  <c r="AB23" i="22"/>
  <c r="AA23" i="22"/>
  <c r="V23" i="22"/>
  <c r="U23" i="22"/>
  <c r="N23" i="22"/>
  <c r="AD23" i="22" s="1"/>
  <c r="M23" i="22"/>
  <c r="AB22" i="22"/>
  <c r="AA22" i="22"/>
  <c r="V22" i="22"/>
  <c r="U22" i="22"/>
  <c r="N22" i="22"/>
  <c r="AD22" i="22" s="1"/>
  <c r="M22" i="22"/>
  <c r="AB21" i="22"/>
  <c r="AA21" i="22"/>
  <c r="V21" i="22"/>
  <c r="U21" i="22"/>
  <c r="N21" i="22"/>
  <c r="AD21" i="22" s="1"/>
  <c r="M21" i="22"/>
  <c r="AB20" i="22"/>
  <c r="AA20" i="22"/>
  <c r="V20" i="22"/>
  <c r="U20" i="22"/>
  <c r="N20" i="22"/>
  <c r="AD20" i="22" s="1"/>
  <c r="M20" i="22"/>
  <c r="AB19" i="22"/>
  <c r="AA19" i="22"/>
  <c r="V19" i="22"/>
  <c r="U19" i="22"/>
  <c r="N19" i="22"/>
  <c r="AD19" i="22" s="1"/>
  <c r="M19" i="22"/>
  <c r="AB18" i="22"/>
  <c r="AA18" i="22"/>
  <c r="V18" i="22"/>
  <c r="U18" i="22"/>
  <c r="N18" i="22"/>
  <c r="AD18" i="22" s="1"/>
  <c r="M18" i="22"/>
  <c r="AB17" i="22"/>
  <c r="AA17" i="22"/>
  <c r="V17" i="22"/>
  <c r="U17" i="22"/>
  <c r="N17" i="22"/>
  <c r="AD17" i="22" s="1"/>
  <c r="M17" i="22"/>
  <c r="AB16" i="22"/>
  <c r="AA16" i="22"/>
  <c r="V16" i="22"/>
  <c r="U16" i="22"/>
  <c r="N16" i="22"/>
  <c r="AD16" i="22" s="1"/>
  <c r="M16" i="22"/>
  <c r="AB15" i="22"/>
  <c r="AA15" i="22"/>
  <c r="V15" i="22"/>
  <c r="U15" i="22"/>
  <c r="N15" i="22"/>
  <c r="AD15" i="22" s="1"/>
  <c r="M15" i="22"/>
  <c r="AB14" i="22"/>
  <c r="AA14" i="22"/>
  <c r="V14" i="22"/>
  <c r="U14" i="22"/>
  <c r="N14" i="22"/>
  <c r="AD14" i="22" s="1"/>
  <c r="M14" i="22"/>
  <c r="AB13" i="22"/>
  <c r="AA13" i="22"/>
  <c r="V13" i="22"/>
  <c r="U13" i="22"/>
  <c r="N13" i="22"/>
  <c r="AD13" i="22" s="1"/>
  <c r="M13" i="22"/>
  <c r="AB12" i="22"/>
  <c r="AA12" i="22"/>
  <c r="V12" i="22"/>
  <c r="U12" i="22"/>
  <c r="N12" i="22"/>
  <c r="AD12" i="22" s="1"/>
  <c r="M12" i="22"/>
  <c r="AB11" i="22"/>
  <c r="AA11" i="22"/>
  <c r="V11" i="22"/>
  <c r="U11" i="22"/>
  <c r="N11" i="22"/>
  <c r="AD11" i="22" s="1"/>
  <c r="M11" i="22"/>
  <c r="Z5" i="22"/>
  <c r="F115" i="18" s="1"/>
  <c r="Z4" i="22"/>
  <c r="F114" i="18" s="1"/>
  <c r="Z2" i="22"/>
  <c r="F113" i="18" s="1"/>
  <c r="Z1" i="22"/>
  <c r="F112" i="18" s="1"/>
  <c r="B48" i="20"/>
  <c r="B47" i="20"/>
  <c r="B46" i="20"/>
  <c r="B45" i="20"/>
  <c r="B44" i="20"/>
  <c r="B43" i="20"/>
  <c r="K38" i="19"/>
  <c r="K37" i="19"/>
  <c r="K36" i="19"/>
  <c r="K35" i="19"/>
  <c r="K34" i="19"/>
  <c r="K33" i="19"/>
  <c r="K32" i="19"/>
  <c r="K31" i="19"/>
  <c r="K30" i="19"/>
  <c r="K29" i="19"/>
  <c r="K28" i="19"/>
  <c r="K27" i="19"/>
  <c r="K26" i="19"/>
  <c r="K25" i="19"/>
  <c r="K24" i="19"/>
  <c r="K23" i="19"/>
  <c r="K22" i="19"/>
  <c r="AC25" i="22" l="1"/>
  <c r="AC23" i="22"/>
  <c r="AC27" i="22"/>
  <c r="AC31" i="22"/>
  <c r="AC35" i="22"/>
  <c r="AC29" i="22"/>
  <c r="AC12" i="22"/>
  <c r="AC14" i="22"/>
  <c r="AC37" i="22"/>
  <c r="AC24" i="22"/>
  <c r="AC32" i="22"/>
  <c r="AC18" i="22"/>
  <c r="AC15" i="22"/>
  <c r="AC21" i="22"/>
  <c r="AC33" i="22"/>
  <c r="AC20" i="22"/>
  <c r="AC22" i="22"/>
  <c r="AC26" i="22"/>
  <c r="AC11" i="22"/>
  <c r="AC28" i="22"/>
  <c r="AC17" i="22"/>
  <c r="AC16" i="22"/>
  <c r="AC13" i="22"/>
  <c r="AC34" i="22"/>
  <c r="AC19" i="22"/>
  <c r="AC30" i="22"/>
  <c r="AC36" i="22"/>
  <c r="AC38" i="22"/>
  <c r="B3" i="9"/>
  <c r="AB42" i="8"/>
  <c r="AA42" i="8"/>
  <c r="V42" i="8"/>
  <c r="U42" i="8"/>
  <c r="N42" i="8"/>
  <c r="AD42" i="8" s="1"/>
  <c r="M42" i="8"/>
  <c r="AB41" i="8"/>
  <c r="AA41" i="8"/>
  <c r="V41" i="8"/>
  <c r="U41" i="8"/>
  <c r="N41" i="8"/>
  <c r="AD41" i="8" s="1"/>
  <c r="M41" i="8"/>
  <c r="AB40" i="8"/>
  <c r="AA40" i="8"/>
  <c r="V40" i="8"/>
  <c r="U40" i="8"/>
  <c r="N40" i="8"/>
  <c r="AD40" i="8" s="1"/>
  <c r="M40" i="8"/>
  <c r="AB39" i="8"/>
  <c r="AA39" i="8"/>
  <c r="V39" i="8"/>
  <c r="U39" i="8"/>
  <c r="N39" i="8"/>
  <c r="AD39" i="8" s="1"/>
  <c r="M39" i="8"/>
  <c r="AB38" i="8"/>
  <c r="AA38" i="8"/>
  <c r="V38" i="8"/>
  <c r="U38" i="8"/>
  <c r="N38" i="8"/>
  <c r="AD38" i="8" s="1"/>
  <c r="M38" i="8"/>
  <c r="AB37" i="8"/>
  <c r="AA37" i="8"/>
  <c r="V37" i="8"/>
  <c r="U37" i="8"/>
  <c r="N37" i="8"/>
  <c r="AD37" i="8" s="1"/>
  <c r="M37" i="8"/>
  <c r="AB36" i="8"/>
  <c r="AA36" i="8"/>
  <c r="V36" i="8"/>
  <c r="U36" i="8"/>
  <c r="N36" i="8"/>
  <c r="AD36" i="8" s="1"/>
  <c r="M36" i="8"/>
  <c r="AB35" i="8"/>
  <c r="AA35" i="8"/>
  <c r="V35" i="8"/>
  <c r="U35" i="8"/>
  <c r="N35" i="8"/>
  <c r="AD35" i="8" s="1"/>
  <c r="M35" i="8"/>
  <c r="AB34" i="8"/>
  <c r="AA34" i="8"/>
  <c r="V34" i="8"/>
  <c r="U34" i="8"/>
  <c r="N34" i="8"/>
  <c r="AD34" i="8" s="1"/>
  <c r="M34" i="8"/>
  <c r="AB33" i="8"/>
  <c r="AA33" i="8"/>
  <c r="V33" i="8"/>
  <c r="U33" i="8"/>
  <c r="N33" i="8"/>
  <c r="AD33" i="8" s="1"/>
  <c r="M33" i="8"/>
  <c r="AB32" i="8"/>
  <c r="AA32" i="8"/>
  <c r="V32" i="8"/>
  <c r="U32" i="8"/>
  <c r="N32" i="8"/>
  <c r="AD32" i="8" s="1"/>
  <c r="M32" i="8"/>
  <c r="AB31" i="8"/>
  <c r="AA31" i="8"/>
  <c r="V31" i="8"/>
  <c r="U31" i="8"/>
  <c r="N31" i="8"/>
  <c r="AD31" i="8" s="1"/>
  <c r="M31" i="8"/>
  <c r="AB30" i="8"/>
  <c r="AA30" i="8"/>
  <c r="V30" i="8"/>
  <c r="U30" i="8"/>
  <c r="N30" i="8"/>
  <c r="AD30" i="8" s="1"/>
  <c r="M30" i="8"/>
  <c r="AB29" i="8"/>
  <c r="AA29" i="8"/>
  <c r="V29" i="8"/>
  <c r="U29" i="8"/>
  <c r="N29" i="8"/>
  <c r="AD29" i="8" s="1"/>
  <c r="M29" i="8"/>
  <c r="AB28" i="8"/>
  <c r="AA28" i="8"/>
  <c r="V28" i="8"/>
  <c r="U28" i="8"/>
  <c r="N28" i="8"/>
  <c r="AD28" i="8" s="1"/>
  <c r="M28" i="8"/>
  <c r="AB27" i="8"/>
  <c r="AA27" i="8"/>
  <c r="V27" i="8"/>
  <c r="U27" i="8"/>
  <c r="N27" i="8"/>
  <c r="AD27" i="8" s="1"/>
  <c r="M27" i="8"/>
  <c r="AB26" i="8"/>
  <c r="AA26" i="8"/>
  <c r="V26" i="8"/>
  <c r="U26" i="8"/>
  <c r="N26" i="8"/>
  <c r="AD26" i="8" s="1"/>
  <c r="M26" i="8"/>
  <c r="AB25" i="8"/>
  <c r="AA25" i="8"/>
  <c r="V25" i="8"/>
  <c r="U25" i="8"/>
  <c r="N25" i="8"/>
  <c r="AD25" i="8" s="1"/>
  <c r="M25" i="8"/>
  <c r="AB24" i="8"/>
  <c r="AA24" i="8"/>
  <c r="V24" i="8"/>
  <c r="U24" i="8"/>
  <c r="N24" i="8"/>
  <c r="AD24" i="8" s="1"/>
  <c r="M24" i="8"/>
  <c r="AB23" i="8"/>
  <c r="AA23" i="8"/>
  <c r="V23" i="8"/>
  <c r="U23" i="8"/>
  <c r="N23" i="8"/>
  <c r="AD23" i="8" s="1"/>
  <c r="M23" i="8"/>
  <c r="AB22" i="8"/>
  <c r="AA22" i="8"/>
  <c r="V22" i="8"/>
  <c r="U22" i="8"/>
  <c r="N22" i="8"/>
  <c r="AD22" i="8" s="1"/>
  <c r="M22" i="8"/>
  <c r="AB21" i="8"/>
  <c r="AA21" i="8"/>
  <c r="V21" i="8"/>
  <c r="U21" i="8"/>
  <c r="N21" i="8"/>
  <c r="AD21" i="8" s="1"/>
  <c r="M21" i="8"/>
  <c r="AB20" i="8"/>
  <c r="AA20" i="8"/>
  <c r="V20" i="8"/>
  <c r="U20" i="8"/>
  <c r="N20" i="8"/>
  <c r="AD20" i="8" s="1"/>
  <c r="M20" i="8"/>
  <c r="AB19" i="8"/>
  <c r="AC19" i="8" s="1"/>
  <c r="AA19" i="8"/>
  <c r="V19" i="8"/>
  <c r="U19" i="8"/>
  <c r="N19" i="8"/>
  <c r="AD19" i="8" s="1"/>
  <c r="M19" i="8"/>
  <c r="AB18" i="8"/>
  <c r="AC18" i="8" s="1"/>
  <c r="AA18" i="8"/>
  <c r="V18" i="8"/>
  <c r="U18" i="8"/>
  <c r="N18" i="8"/>
  <c r="AD18" i="8" s="1"/>
  <c r="M18" i="8"/>
  <c r="AB17" i="8"/>
  <c r="AC17" i="8" s="1"/>
  <c r="AA17" i="8"/>
  <c r="V17" i="8"/>
  <c r="U17" i="8"/>
  <c r="N17" i="8"/>
  <c r="AD17" i="8" s="1"/>
  <c r="M17" i="8"/>
  <c r="AB16" i="8"/>
  <c r="AC16" i="8" s="1"/>
  <c r="AA16" i="8"/>
  <c r="V16" i="8"/>
  <c r="U16" i="8"/>
  <c r="N16" i="8"/>
  <c r="AD16" i="8" s="1"/>
  <c r="M16" i="8"/>
  <c r="Z5" i="8"/>
  <c r="T5" i="8"/>
  <c r="Z4" i="8"/>
  <c r="T4" i="8"/>
  <c r="Z3" i="8"/>
  <c r="T3" i="8"/>
  <c r="Z2" i="8"/>
  <c r="T2" i="8"/>
  <c r="AC21" i="8" l="1"/>
  <c r="AC23" i="8"/>
  <c r="AC33" i="8"/>
  <c r="AC37" i="8"/>
  <c r="AC39" i="8"/>
  <c r="AC41" i="8"/>
  <c r="AC20" i="8"/>
  <c r="AC22" i="8"/>
  <c r="AC24" i="8"/>
  <c r="AC26" i="8"/>
  <c r="AC28" i="8"/>
  <c r="AC30" i="8"/>
  <c r="AC32" i="8"/>
  <c r="AC34" i="8"/>
  <c r="AC36" i="8"/>
  <c r="AC38" i="8"/>
  <c r="AC40" i="8"/>
  <c r="AC42" i="8"/>
  <c r="AC25" i="8"/>
  <c r="AC27" i="8"/>
  <c r="AC29" i="8"/>
  <c r="AC31" i="8"/>
  <c r="AC35" i="8"/>
  <c r="B5" i="9" l="1"/>
  <c r="B6" i="9"/>
  <c r="B7" i="9"/>
  <c r="B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Fatima DARAZIRAR</author>
  </authors>
  <commentList>
    <comment ref="M9" authorId="0" shapeId="0" xr:uid="{597D3E29-2BD8-40AC-8278-8C23F7B6799B}">
      <text>
        <r>
          <rPr>
            <b/>
            <sz val="9"/>
            <color indexed="81"/>
            <rFont val="Tahoma"/>
            <family val="2"/>
          </rPr>
          <t xml:space="preserve">Quadrigramme - XXXX
</t>
        </r>
      </text>
    </comment>
    <comment ref="A10" authorId="0" shapeId="0" xr:uid="{D2468C69-100A-4101-8022-9A3B3A61FBE7}">
      <text>
        <r>
          <rPr>
            <b/>
            <sz val="9"/>
            <color indexed="81"/>
            <rFont val="Tahoma"/>
            <family val="2"/>
          </rPr>
          <t>Exemple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Joël BOËNNEC</author>
  </authors>
  <commentList>
    <comment ref="B3" authorId="0" shapeId="0" xr:uid="{7B30DB77-BE9B-47AA-9B90-CF1EA2E3960F}">
      <text>
        <r>
          <rPr>
            <b/>
            <sz val="8"/>
            <color indexed="81"/>
            <rFont val="Tahoma"/>
            <family val="2"/>
          </rPr>
          <t>For record a status, copy this cells and paste values (special paste) in the Risk 
Follow-up table</t>
        </r>
      </text>
    </comment>
  </commentList>
</comments>
</file>

<file path=xl/sharedStrings.xml><?xml version="1.0" encoding="utf-8"?>
<sst xmlns="http://schemas.openxmlformats.org/spreadsheetml/2006/main" count="714" uniqueCount="493">
  <si>
    <t>GUIDE</t>
  </si>
  <si>
    <t>Objectif</t>
  </si>
  <si>
    <r>
      <t xml:space="preserve">Ce guide vise à facilier l'utilisation et prise en main de </t>
    </r>
    <r>
      <rPr>
        <b/>
        <u/>
        <sz val="9"/>
        <rFont val="Lato"/>
        <family val="2"/>
      </rPr>
      <t>2 outils</t>
    </r>
    <r>
      <rPr>
        <sz val="9"/>
        <rFont val="Lato"/>
        <family val="2"/>
      </rPr>
      <t xml:space="preserve"> de pilotage des risques contenus dans ce fichier : </t>
    </r>
  </si>
  <si>
    <t>1. "Pilotage risques et actions"</t>
  </si>
  <si>
    <t>2. "AMDEC"</t>
  </si>
  <si>
    <t>A qui s'adresse t-il ?</t>
  </si>
  <si>
    <r>
      <t xml:space="preserve">Cet outil est destiné à l'ensemble des pôles métier FMS : </t>
    </r>
    <r>
      <rPr>
        <sz val="9"/>
        <color theme="1"/>
        <rFont val="Lato Black"/>
        <family val="2"/>
      </rPr>
      <t>My Log, My System; MVP, FMS ID, My Work, Service(s) Support (Transverses)</t>
    </r>
  </si>
  <si>
    <t>Il s'adresse aux managers opérationnels, de direction et/ou de services support (transverse) en charge de piloter les risques d'un projet/processus.</t>
  </si>
  <si>
    <t>Introduction</t>
  </si>
  <si>
    <t>Ce préambule décrit, en 5 étapes, la méthodologie de gestion des risques. Vous y trouverez la définition de termes à connaître avant d'appréhender les outils du fichier.</t>
  </si>
  <si>
    <t>Aide aux risques</t>
  </si>
  <si>
    <t>Informations à utiliser pour compléter les colonnes "catégorie" et "description du risque" de l'outil "Risques et Actions"</t>
  </si>
  <si>
    <t>Il contient une liste d'exemples (non exhaustive) de risques classés en 6 catégories.</t>
  </si>
  <si>
    <t>Risques et actions</t>
  </si>
  <si>
    <t>L'implémentation de cet outil se fait en 3 étapes :</t>
  </si>
  <si>
    <t>1. Identifier le risque</t>
  </si>
  <si>
    <t xml:space="preserve">2. Evaluer le risque </t>
  </si>
  <si>
    <t>3. Construire le plan d'action</t>
  </si>
  <si>
    <t>Comment évaluer un risque ?</t>
  </si>
  <si>
    <r>
      <t>Une fois le risque identifié, une évaluation de sa criticité est nécessaire. Elle est réalisée via 2 paramètres, la</t>
    </r>
    <r>
      <rPr>
        <b/>
        <sz val="9"/>
        <rFont val="Lato"/>
        <family val="2"/>
      </rPr>
      <t xml:space="preserve"> probabilité/occurence </t>
    </r>
    <r>
      <rPr>
        <sz val="9"/>
        <rFont val="Lato"/>
        <family val="2"/>
      </rPr>
      <t xml:space="preserve">et la </t>
    </r>
    <r>
      <rPr>
        <b/>
        <sz val="9"/>
        <rFont val="Lato"/>
        <family val="2"/>
      </rPr>
      <t>gravité.</t>
    </r>
  </si>
  <si>
    <t>Matrice / grille de cotation</t>
  </si>
  <si>
    <t>Gravité</t>
  </si>
  <si>
    <t>Très Haute</t>
  </si>
  <si>
    <t>Moyen</t>
  </si>
  <si>
    <t>Fort</t>
  </si>
  <si>
    <t>Très fort</t>
  </si>
  <si>
    <t>Haute</t>
  </si>
  <si>
    <t>Faible</t>
  </si>
  <si>
    <t xml:space="preserve">  seuil de déclenchement d'action</t>
  </si>
  <si>
    <t>Probabilité*</t>
  </si>
  <si>
    <t>Action non requise</t>
  </si>
  <si>
    <t>Action requise</t>
  </si>
  <si>
    <t>Echelle de probabilité / Occurrence</t>
  </si>
  <si>
    <t>Isolé - peu probable - moins d'1 fois par an ou 1 fois toutes les 10 000 pièces produites</t>
  </si>
  <si>
    <t>Peu fréquent - 1 à 4 fois par an ou 1 fois toutes les 3000 pièces produites</t>
  </si>
  <si>
    <t>Dysfonctionnement fréquent - 1 à 3 fois par mois ou 1 fois toutes les 500 pièces produites</t>
  </si>
  <si>
    <t>Dysfonctionnement répété - entre 1 fois par semaine et tous les jours ou 1 fois entre 1-50 pièces</t>
  </si>
  <si>
    <t>Echelle de Gravité</t>
  </si>
  <si>
    <t>Non détectable par le client et incidence faible - Perte mineure sur le service.</t>
  </si>
  <si>
    <t xml:space="preserve">Détectable par le client et incidence induisant une perte de service. Il existe une solution de contournement afin de restaurer le service. </t>
  </si>
  <si>
    <t xml:space="preserve">Détectable par le client et incidence induisant une perte importante de service. Pas de solution de contournement. Requiert une action afin de restaurer le service. </t>
  </si>
  <si>
    <t xml:space="preserve">Détectable par le client et incidence majeure. Probabilité de perte du client. Requiert une action afin de restaurer le service. </t>
  </si>
  <si>
    <t>Comment mesurer l'efficacité d'une action ?</t>
  </si>
  <si>
    <t xml:space="preserve">La mesure de l'efficacité d'une action consiste à vérifier qu'elle a atteint son objectif. </t>
  </si>
  <si>
    <t xml:space="preserve">Il y a des catégories de risques sur lesquels ont ne peut agir sur les causes. En revanche, il est possible de s’assurer que les actions engagées pour en réduire l'impact sont effectives. </t>
  </si>
  <si>
    <t>Le critère d'efficacité est la non réapparition du dysfonctionnement/défaillance rencontré.</t>
  </si>
  <si>
    <t>Ex : l'action d'isoler phoniquement des murs du bureau a été à 90% efficace ==&gt; elle a réduit considérablement l'impact du risque de dégradation des conditions de travail (nuisances sonores)</t>
  </si>
  <si>
    <t>Spécifités My System</t>
  </si>
  <si>
    <t xml:space="preserve">L'onglet "Pilotage risques et actions" intègre des règles de gestion spécifiques au périmètre My System. Ces renseignements sont destinés à faciliter la remontée et le partage des risques à tous les acteurs du pôle. </t>
  </si>
  <si>
    <t>Ci-dessous la procédure à suivre vous permettant de renseigner les informations complémentaires.</t>
  </si>
  <si>
    <t>Pour chaque risque veuillez compléter les informations suivantes :</t>
  </si>
  <si>
    <t>1. Visibilité ROP (Revue Opérationnelle de Pôle)</t>
  </si>
  <si>
    <t>Certains risques "majeurs" (criticité élevée, impact salariés fort ou très fort, enjeux stratégiques forts…) nécessitent d'être remontés au N+1 pour être revus en ROP tous les mois</t>
  </si>
  <si>
    <t>Les actions à mettre en place seront identifiées durant ou à l'issue de ces revues</t>
  </si>
  <si>
    <t>2. Nombre de salariés impactés</t>
  </si>
  <si>
    <t>Ce critère devra être pris en compte dans l'évaluation permet d'évaluer l'impact du risque en nombre de salariés.</t>
  </si>
  <si>
    <t>Dashboards</t>
  </si>
  <si>
    <t xml:space="preserve">Ce tableau de bord est une synthèse visuelle des données contenues dans l'onglet "Risques et Actions" </t>
  </si>
  <si>
    <t>Facteurs de notation (AMDEC)</t>
  </si>
  <si>
    <t>Cet onglet vous permet d'évaluer les risques suivant les critères de gravité, d'occurrence et de détectabilité.</t>
  </si>
  <si>
    <t>AMDEC (FMEA)</t>
  </si>
  <si>
    <t>A utiliser si demandée par le client</t>
  </si>
  <si>
    <t>AMDEC : Analyse des Modes de Défaillance, de leurs Effets, et de leur Criticité ou FMEA : Failure mode and effects analysis</t>
  </si>
  <si>
    <t xml:space="preserve">L'AMDEC est une méthode d'analyse systématique des modes de défaillance potentiels visant à prévenir les défaillances. </t>
  </si>
  <si>
    <t>Il s'agit d'un processus d'action préventive mené avant la mise en œuvre de nouveaux projets ou de modifications de produits ou de processus.</t>
  </si>
  <si>
    <t>Idéalement, les AMDEC sont menées au stade de la mise en place d'un projet ou du développement de processus, bien que leur réalisation sur des projets et des processus existants puisse également apporter des avantages.</t>
  </si>
  <si>
    <t>Pour un sujet défini, toutes les défaillances/risques possibles doivent être identifiés.</t>
  </si>
  <si>
    <t>Pour chaque mode de défaillance, nous devons évaluer de 1 à 10 :</t>
  </si>
  <si>
    <r>
      <t xml:space="preserve">- </t>
    </r>
    <r>
      <rPr>
        <b/>
        <sz val="9"/>
        <rFont val="Lato"/>
        <family val="2"/>
      </rPr>
      <t>Sévérité/Gravité</t>
    </r>
    <r>
      <rPr>
        <sz val="9"/>
        <rFont val="Lato"/>
        <family val="2"/>
      </rPr>
      <t xml:space="preserve"> : Effet potentiel sur le sujet, impact</t>
    </r>
  </si>
  <si>
    <r>
      <t xml:space="preserve">- </t>
    </r>
    <r>
      <rPr>
        <b/>
        <sz val="9"/>
        <rFont val="Lato"/>
        <family val="2"/>
      </rPr>
      <t>Occurrence</t>
    </r>
    <r>
      <rPr>
        <sz val="9"/>
        <rFont val="Lato"/>
        <family val="2"/>
      </rPr>
      <t xml:space="preserve"> : Cause potentielle de la panne et fréquence d'occurrence/ d'apparition ?</t>
    </r>
  </si>
  <si>
    <r>
      <t xml:space="preserve">- </t>
    </r>
    <r>
      <rPr>
        <b/>
        <sz val="9"/>
        <rFont val="Lato"/>
        <family val="2"/>
      </rPr>
      <t>Détectabilité</t>
    </r>
    <r>
      <rPr>
        <sz val="9"/>
        <rFont val="Lato"/>
        <family val="2"/>
      </rPr>
      <t xml:space="preserve"> : Comment la panne est-elle détectée ?</t>
    </r>
  </si>
  <si>
    <t>Evaluation</t>
  </si>
  <si>
    <t>Le RPN (Risk Priority Number) définit le niveau de risque de la panne. Le RPN est une combinaison de la Criticité (Sévérité x Occurrence) et de la Détectabilité.</t>
  </si>
  <si>
    <t>RPN = S x O x D</t>
  </si>
  <si>
    <t>Au moins pour les risques de haut niveau, des actions doivent être définies et suivies.</t>
  </si>
  <si>
    <t>RPN Colours</t>
  </si>
  <si>
    <t>FAIBLE</t>
  </si>
  <si>
    <t>MEDIUM</t>
  </si>
  <si>
    <t>HAUT</t>
  </si>
  <si>
    <t>TRES HAUT</t>
  </si>
  <si>
    <t>AMDEC Rapport</t>
  </si>
  <si>
    <t>INTRODUCTION</t>
  </si>
  <si>
    <t>La gestion des risques</t>
  </si>
  <si>
    <t>Un risque est un danger éventuel plus ou moins prévisible. Tous les risques ne sont pas prévisibles.</t>
  </si>
  <si>
    <t>Le pilotage des risques passe par un questionnement régulier et une analyse des risques à intégrer aux réunions de suivi hebdomadaire des activités de votre projet/processus.</t>
  </si>
  <si>
    <t>Méthodologie en 5 étapes</t>
  </si>
  <si>
    <r>
      <rPr>
        <u/>
        <sz val="9"/>
        <color theme="1"/>
        <rFont val="Lato"/>
        <family val="2"/>
      </rPr>
      <t>Etape 1 :</t>
    </r>
    <r>
      <rPr>
        <sz val="9"/>
        <color theme="1"/>
        <rFont val="Lato"/>
        <family val="2"/>
      </rPr>
      <t xml:space="preserve"> Identifier les risques</t>
    </r>
  </si>
  <si>
    <r>
      <rPr>
        <u/>
        <sz val="9"/>
        <color theme="1"/>
        <rFont val="Lato"/>
        <family val="2"/>
      </rPr>
      <t>Etape 2 :</t>
    </r>
    <r>
      <rPr>
        <sz val="9"/>
        <color theme="1"/>
        <rFont val="Lato"/>
        <family val="2"/>
      </rPr>
      <t xml:space="preserve"> Analyser et évaluer les risques</t>
    </r>
  </si>
  <si>
    <t>La criticité est :</t>
  </si>
  <si>
    <t>-une aide à la hiérarchisation des risque</t>
  </si>
  <si>
    <t>-une aide pour décider des actions prioritaires</t>
  </si>
  <si>
    <t xml:space="preserve">La définition de seuils  conditionne la mise en place d’actions: </t>
  </si>
  <si>
    <t>Tout ce qui est au-dessus du seuil nécessite la mise en place d’actions</t>
  </si>
  <si>
    <t>Attention :</t>
  </si>
  <si>
    <r>
      <rPr>
        <u/>
        <sz val="9"/>
        <color theme="1"/>
        <rFont val="Lato"/>
        <family val="2"/>
      </rPr>
      <t>Etape 3 :</t>
    </r>
    <r>
      <rPr>
        <sz val="9"/>
        <color theme="1"/>
        <rFont val="Lato"/>
        <family val="2"/>
      </rPr>
      <t xml:space="preserve"> Définir un plan d'action ou de traitement ;</t>
    </r>
  </si>
  <si>
    <r>
      <rPr>
        <u/>
        <sz val="9"/>
        <color theme="1"/>
        <rFont val="Lato"/>
        <family val="2"/>
      </rPr>
      <t>Etape 4 :</t>
    </r>
    <r>
      <rPr>
        <sz val="9"/>
        <color theme="1"/>
        <rFont val="Lato"/>
        <family val="2"/>
      </rPr>
      <t xml:space="preserve"> Piloter les actions et revenir à la première étape d’identification des risques</t>
    </r>
  </si>
  <si>
    <r>
      <rPr>
        <u/>
        <sz val="9"/>
        <color theme="1"/>
        <rFont val="Lato"/>
        <family val="2"/>
      </rPr>
      <t>Etape 5 :</t>
    </r>
    <r>
      <rPr>
        <sz val="9"/>
        <color theme="1"/>
        <rFont val="Lato"/>
        <family val="2"/>
      </rPr>
      <t xml:space="preserve"> (Spécifique à l'AMDEC) Réévaluer les risques suite aux actions réalisées </t>
    </r>
  </si>
  <si>
    <t>Le suivi des actions et la réévaluation des risques se fait a-minima à chaque réunion de suivi  que ce soit en interne ou avec le client.</t>
  </si>
  <si>
    <r>
      <t xml:space="preserve">Attention </t>
    </r>
    <r>
      <rPr>
        <sz val="9"/>
        <color theme="1"/>
        <rFont val="Lato"/>
        <family val="2"/>
      </rPr>
      <t>:</t>
    </r>
    <r>
      <rPr>
        <sz val="9"/>
        <color rgb="FFFF0000"/>
        <rFont val="Lato"/>
        <family val="2"/>
      </rPr>
      <t xml:space="preserve"> Si le risque augmente et passe au-dessus du seuil défini, des actions doivent être mises en place pour réduire le risque</t>
    </r>
  </si>
  <si>
    <t>Diagramme d'Ishikawa</t>
  </si>
  <si>
    <t xml:space="preserve">Catégories et types de risques </t>
  </si>
  <si>
    <t>Les sources possibles de risques peuvent être trouvées dans les domaines de l'Infrastructure, Commercial, Technique, Personnel ou Qualité telle que détaillée dans les domaines suivants (liste non-exhaustive :</t>
  </si>
  <si>
    <t>Infrastructure</t>
  </si>
  <si>
    <t>Commercial</t>
  </si>
  <si>
    <t>Technique</t>
  </si>
  <si>
    <t>Ressources Humaines</t>
  </si>
  <si>
    <t>Qualité</t>
  </si>
  <si>
    <t>Organisation</t>
  </si>
  <si>
    <t>Système IT</t>
  </si>
  <si>
    <t>Prix</t>
  </si>
  <si>
    <t>Étendue de l'expertise technique en dehors des capacité et périmètre</t>
  </si>
  <si>
    <t>Manque de ressources et de compétences particulières</t>
  </si>
  <si>
    <t>Ajustement avec le scope approuvée</t>
  </si>
  <si>
    <t>Ajustement avec le périmètre approuvé</t>
  </si>
  <si>
    <t>Disponibilité de l'ordinateur</t>
  </si>
  <si>
    <t>Utilisation de fournisseurs désignés par le client</t>
  </si>
  <si>
    <t>Ambiguïté ou manque de compréhension de conditions</t>
  </si>
  <si>
    <t>Besoins de formation</t>
  </si>
  <si>
    <t>Exigences client spéciales</t>
  </si>
  <si>
    <t>Organisation équipe</t>
  </si>
  <si>
    <t>Sauvegarde de données</t>
  </si>
  <si>
    <t>Besoin de nouveaux fournisseurs</t>
  </si>
  <si>
    <t>Données manquantes</t>
  </si>
  <si>
    <t>Problèmes de santé et de sécurité</t>
  </si>
  <si>
    <t>Implications des fournisseurs</t>
  </si>
  <si>
    <t>Organisation activités</t>
  </si>
  <si>
    <t>Sécurité du bâtiment</t>
  </si>
  <si>
    <t>Clauses pénales et responsabilités</t>
  </si>
  <si>
    <t>Nouveau processus et procédures</t>
  </si>
  <si>
    <t>Les problèmes de sécurité</t>
  </si>
  <si>
    <t>Normes de contrôle de configuration à appliquer</t>
  </si>
  <si>
    <t>Charge de travail</t>
  </si>
  <si>
    <t>Reprise après sinistre</t>
  </si>
  <si>
    <t>Attentes de garantie</t>
  </si>
  <si>
    <t>Processus et critères d'acceptation</t>
  </si>
  <si>
    <t>Satisfaction salarié</t>
  </si>
  <si>
    <t>Autorisations et approbations requises</t>
  </si>
  <si>
    <t>Continuité de service</t>
  </si>
  <si>
    <t>Système de messagerie</t>
  </si>
  <si>
    <t>Conditions commerciales exceptionnelles de toute nature</t>
  </si>
  <si>
    <t>Interfaces</t>
  </si>
  <si>
    <t>Turn Over</t>
  </si>
  <si>
    <t>Exigences et spécifications de clients</t>
  </si>
  <si>
    <t>Détection et évacuation incendie</t>
  </si>
  <si>
    <t>Problèmes de taux de change</t>
  </si>
  <si>
    <t>Responsabilité/Délégation d'autorité</t>
  </si>
  <si>
    <t>Plan Qualité en particulier pour les activités non standardisées</t>
  </si>
  <si>
    <t>Meubles, etc...</t>
  </si>
  <si>
    <t>Taille du contrat</t>
  </si>
  <si>
    <t>Niveaux de compétence existants</t>
  </si>
  <si>
    <t>Exigences légales et réglementaires</t>
  </si>
  <si>
    <t>Adéquation des moyens matériels aux besoins de la mission</t>
  </si>
  <si>
    <t>Licence d'exportation</t>
  </si>
  <si>
    <t>Complexité</t>
  </si>
  <si>
    <t>Participation des clients</t>
  </si>
  <si>
    <t>Sécurité du bâtiment/site</t>
  </si>
  <si>
    <t>Propriétés intellectuelles</t>
  </si>
  <si>
    <t>Technologies de l'information et de la communication, etc...</t>
  </si>
  <si>
    <t>Qualité des livrables (OQD)</t>
  </si>
  <si>
    <t>Partenariat /Offshore</t>
  </si>
  <si>
    <t>Délais et jalons (OTD)</t>
  </si>
  <si>
    <t>Support produit demandé</t>
  </si>
  <si>
    <t>Satisfaction client</t>
  </si>
  <si>
    <t>Logiciels et autres équipements requis</t>
  </si>
  <si>
    <t>Implication de groupe, etc…</t>
  </si>
  <si>
    <t>Commande</t>
  </si>
  <si>
    <t>Bon de livraison</t>
  </si>
  <si>
    <t>Conditions commerciales exceptionnelles</t>
  </si>
  <si>
    <t xml:space="preserve">Partenariat </t>
  </si>
  <si>
    <t>Facturation</t>
  </si>
  <si>
    <t>Contractualisation</t>
  </si>
  <si>
    <t>Catégories</t>
  </si>
  <si>
    <t>Pilotage des risques et actions</t>
  </si>
  <si>
    <t xml:space="preserve">Nom du pôle métier/processus : </t>
  </si>
  <si>
    <t>Support transverse</t>
  </si>
  <si>
    <t>Nom du projet  :</t>
  </si>
  <si>
    <t>Identification</t>
  </si>
  <si>
    <t>Risques</t>
  </si>
  <si>
    <t xml:space="preserve">Plan d'action </t>
  </si>
  <si>
    <t>Probabilité</t>
  </si>
  <si>
    <t>Criticité</t>
  </si>
  <si>
    <t>Statut Action</t>
  </si>
  <si>
    <t>MY SYSTEM</t>
  </si>
  <si>
    <t>ID_Risque (R+Chrono)</t>
  </si>
  <si>
    <t>Périmètre</t>
  </si>
  <si>
    <t>Date de création 
du risque</t>
  </si>
  <si>
    <t>Visibilité 
ROP</t>
  </si>
  <si>
    <t>Nbre de salariés impactés</t>
  </si>
  <si>
    <t>Catégorie</t>
  </si>
  <si>
    <t>Description</t>
  </si>
  <si>
    <t>Impact potentiel sur le service</t>
  </si>
  <si>
    <t>Probabilité / Occurrence</t>
  </si>
  <si>
    <t>Actions</t>
  </si>
  <si>
    <t>Responsable 
de l'action</t>
  </si>
  <si>
    <t>Date cible</t>
  </si>
  <si>
    <t>Statut des actions liées au risque</t>
  </si>
  <si>
    <t>Date de clôture</t>
  </si>
  <si>
    <t>Efficacité action (en %)</t>
  </si>
  <si>
    <t>Commentaires</t>
  </si>
  <si>
    <t>Appréciation</t>
  </si>
  <si>
    <t>Note</t>
  </si>
  <si>
    <t>R001</t>
  </si>
  <si>
    <t>Projet A</t>
  </si>
  <si>
    <t>Non</t>
  </si>
  <si>
    <t>Connaissances de l'application</t>
  </si>
  <si>
    <t>Retard de livraison</t>
  </si>
  <si>
    <t>Très forte</t>
  </si>
  <si>
    <t>Mise à jour des procédures et documentation projet</t>
  </si>
  <si>
    <t>XXXX</t>
  </si>
  <si>
    <t>Close</t>
  </si>
  <si>
    <t>Non applicable</t>
  </si>
  <si>
    <t>R002</t>
  </si>
  <si>
    <t>Projet B</t>
  </si>
  <si>
    <t>Départ de XXXX</t>
  </si>
  <si>
    <t>Moyenne</t>
  </si>
  <si>
    <t>A traiter</t>
  </si>
  <si>
    <t>R003</t>
  </si>
  <si>
    <t>Instabilité des données source</t>
  </si>
  <si>
    <t>Forte</t>
  </si>
  <si>
    <t xml:space="preserve">En cours </t>
  </si>
  <si>
    <t>R004</t>
  </si>
  <si>
    <t>Projet C</t>
  </si>
  <si>
    <t>Oui</t>
  </si>
  <si>
    <t xml:space="preserve">Choix techniques </t>
  </si>
  <si>
    <t>Suspendue</t>
  </si>
  <si>
    <t>R005</t>
  </si>
  <si>
    <t>Implication/niveau technique ressource sur le projet</t>
  </si>
  <si>
    <t>Annulée</t>
  </si>
  <si>
    <t>R006</t>
  </si>
  <si>
    <t>Sur-charge XXXX</t>
  </si>
  <si>
    <t>R007</t>
  </si>
  <si>
    <t>Projet D</t>
  </si>
  <si>
    <t>Temps de réponse client et investissement client</t>
  </si>
  <si>
    <t>R008</t>
  </si>
  <si>
    <t>Disponibilité XXXX</t>
  </si>
  <si>
    <t>R011</t>
  </si>
  <si>
    <t>Départ XXXX</t>
  </si>
  <si>
    <t>R014</t>
  </si>
  <si>
    <t>Projet E</t>
  </si>
  <si>
    <t>Documentation technique à terminer</t>
  </si>
  <si>
    <t>R015</t>
  </si>
  <si>
    <t>Relation client uniquement sur XXXX</t>
  </si>
  <si>
    <t>R016</t>
  </si>
  <si>
    <t>Risque de perte documentaire en cas de panne du NAS</t>
  </si>
  <si>
    <t>R017</t>
  </si>
  <si>
    <t>Projet ski</t>
  </si>
  <si>
    <t>Attaque ddos</t>
  </si>
  <si>
    <t>indisponibilité du service</t>
  </si>
  <si>
    <t>responsable cyber-securité</t>
  </si>
  <si>
    <t>R018</t>
  </si>
  <si>
    <t>perte de données</t>
  </si>
  <si>
    <t>automatisation des sauvegardes, stockage cloud</t>
  </si>
  <si>
    <t>chef de projet</t>
  </si>
  <si>
    <t>R019</t>
  </si>
  <si>
    <t>incendie</t>
  </si>
  <si>
    <t>destruction de matériel, dommages corporels</t>
  </si>
  <si>
    <t>alarme incendie, prévention, inspection du matériel</t>
  </si>
  <si>
    <t>PDG</t>
  </si>
  <si>
    <t>R020</t>
  </si>
  <si>
    <t>Green It Inventory</t>
  </si>
  <si>
    <t>Retard dans le développement (Tom junior)</t>
  </si>
  <si>
    <t>Rallentissement de la progression</t>
  </si>
  <si>
    <t>Former Tom en amont (tutoriels AWS)</t>
  </si>
  <si>
    <t>R021</t>
  </si>
  <si>
    <t>Dépassement budget</t>
  </si>
  <si>
    <t>Prioriser le MVP fonctionnel en prod, pas d'ajout de features</t>
  </si>
  <si>
    <t>developpeurs</t>
  </si>
  <si>
    <t>R022</t>
  </si>
  <si>
    <t>Concurrence d’un géant du Cloud</t>
  </si>
  <si>
    <t>Déclin des utilisateurs</t>
  </si>
  <si>
    <t>Faire valoir la simplicité et le prix - Promouvoir made in france - Normes ISO à jour</t>
  </si>
  <si>
    <t>marketing et expert carbone</t>
  </si>
  <si>
    <t>Analyse de risque pour le processus</t>
  </si>
  <si>
    <t xml:space="preserve"> </t>
  </si>
  <si>
    <t>Nom du projet / processus / service :</t>
  </si>
  <si>
    <t>Preparé par:</t>
  </si>
  <si>
    <t>Date (Orig):</t>
  </si>
  <si>
    <t>(Rev.): 1</t>
  </si>
  <si>
    <t>Identification des défaillances</t>
  </si>
  <si>
    <t>Gravité /Severity</t>
  </si>
  <si>
    <t>Occurrence</t>
  </si>
  <si>
    <t>Detectabilité</t>
  </si>
  <si>
    <t>Atténuation</t>
  </si>
  <si>
    <t>Valeur attendue si action efficace</t>
  </si>
  <si>
    <t>Re-évaluation après action</t>
  </si>
  <si>
    <t>Niveau de risque</t>
  </si>
  <si>
    <t>ID Action</t>
  </si>
  <si>
    <t>Activité de Management</t>
  </si>
  <si>
    <t>Mode d'échec potentiel
Description du risque</t>
  </si>
  <si>
    <t>Date d'Identification</t>
  </si>
  <si>
    <t>Origine</t>
  </si>
  <si>
    <t>Effets potentiels de défaillance</t>
  </si>
  <si>
    <t>SEV</t>
  </si>
  <si>
    <t>Causes potentiel</t>
  </si>
  <si>
    <t>OCC</t>
  </si>
  <si>
    <t>Contrôles de processus actuels</t>
  </si>
  <si>
    <t>DET</t>
  </si>
  <si>
    <t>CRI</t>
  </si>
  <si>
    <t>RPN</t>
  </si>
  <si>
    <t>Actions recommandées</t>
  </si>
  <si>
    <t>Resp</t>
  </si>
  <si>
    <t>Target date</t>
  </si>
  <si>
    <t>Actions prises</t>
  </si>
  <si>
    <t>Niveau en cours</t>
  </si>
  <si>
    <t>Niveau Initiale</t>
  </si>
  <si>
    <t>Quelle est l'étape de management ?</t>
  </si>
  <si>
    <t>Identifier toutes les pannes possibles
- Un échec peut être dupliqué si plusieurs effets et/ou si plusieurs causes pour un même effet.</t>
  </si>
  <si>
    <t>Date d'identification du risque</t>
  </si>
  <si>
    <t>Comment le risque a-t-il été identifié ?
Origine de l'identification du risque. Par exemple retour d'expérience, analyse de cahier des charges…</t>
  </si>
  <si>
    <t>Quel est l'impact sur les variables de sortie clés (exigences du client) ou les exigences internes ?
- Un impact par ligne</t>
  </si>
  <si>
    <t>Quelle est la gravité de l'effet
au client?</t>
  </si>
  <si>
    <t>« Qu'est-ce qui fait que la saisie de la clé se passe mal ? (Comment le mode de défaillance peut-il se produire ?)
Une cause potentielle par ligne.
Brainstorming sur les causes :
- homme
- Matériel
- méthode
-machine
- environnement
Déterminer les causes profondes</t>
  </si>
  <si>
    <t>Quelle est la fréquence de la cause
susceptible de se produire ?</t>
  </si>
  <si>
    <t xml:space="preserve">Quels sont les contrôles existants qui empêchent le mode de défaillance de se produire ou le détecter s'il se produit ?
Tous les moyens de contrôle correspondant à une même cause potentielle sont dans la même cellule.
Détecter:
- Chèques
- Essais planifiés
- KPI
Prévention:
- Commentaires </t>
  </si>
  <si>
    <t>Quelle est la probabilité
Détection de la cause ?</t>
  </si>
  <si>
    <t>Criticité ?</t>
  </si>
  <si>
    <t>Priorité de risque # à classer</t>
  </si>
  <si>
    <t>Quelles sont les actions pour réduire l'Occurrence de la cause, ou améliorer la Détection ?
Les actions doivent :
- éliminer l'échec SEV = 9/10
- Éliminer les causes affectant directement le résultat du processus
- réduire l'occurrence
- Améliorer la détection des tests à la dernière option.</t>
  </si>
  <si>
    <t>Qui est responsable de l'action recommandée ?
(Un seul responsable)</t>
  </si>
  <si>
    <t>Date d'achèvement de l'action souhaitée</t>
  </si>
  <si>
    <t>Quelles ont été les actions mises en place ? Inclure le mois/année d'achèvement. (Ensuite, recalculez le RPN résultant.)</t>
  </si>
  <si>
    <t>Niveau de 1ère évaluation</t>
  </si>
  <si>
    <t>Voir la fiche Facteurs de notation.</t>
  </si>
  <si>
    <t>planification</t>
  </si>
  <si>
    <t>attaque ddos</t>
  </si>
  <si>
    <t xml:space="preserve">important </t>
  </si>
  <si>
    <t>homme</t>
  </si>
  <si>
    <t>limiter les connexions simultanées, file d'attente, cloudflare, captchas, etc</t>
  </si>
  <si>
    <t>utliser une solution contre le ddos</t>
  </si>
  <si>
    <t>perte de données client, produit</t>
  </si>
  <si>
    <t>critique</t>
  </si>
  <si>
    <t>matérielle</t>
  </si>
  <si>
    <t>généraliser les tests,système de log</t>
  </si>
  <si>
    <t>alarme incendie, odeurs, alerte d'employés</t>
  </si>
  <si>
    <t>Dangereux</t>
  </si>
  <si>
    <t>matériel, humain, environnemental</t>
  </si>
  <si>
    <t>installation d'extincteur automatiques, plan d'évacuation</t>
  </si>
  <si>
    <t>AMDEC/FMEA - grille de notation</t>
  </si>
  <si>
    <t>Choisissez l'échelle la plus adaptée à votre contexte. L'échelle de fréquence peut être adaptée à votre contexte.</t>
  </si>
  <si>
    <t>ÉVAL.</t>
  </si>
  <si>
    <t>DEGRÉ DE GRAVITÉ (SEV)</t>
  </si>
  <si>
    <t>PROBABILITÉ D'OCCURRENCE (OCC)</t>
  </si>
  <si>
    <t>CAPACITÉ À DÉTECTER (DET)</t>
  </si>
  <si>
    <t>Rien</t>
  </si>
  <si>
    <t>L'échec ne serait pas perceptible pour le client et n'affecterait pas le processus ou le produit du client.</t>
  </si>
  <si>
    <t>Isolé : l'échec est peu probable.</t>
  </si>
  <si>
    <t>Une occurrence sur plus de cinq ans ou moins de deux occurrences sur un milliard d'événements (Cpk &gt; 2,00).</t>
  </si>
  <si>
    <t>Presque certain</t>
  </si>
  <si>
    <t>Le défaut est évident ou il y a une inspection 100% automatique avec un étalonnage régulier et une maintenance préventive de l'équipement d'inspection.</t>
  </si>
  <si>
    <t>Mineur</t>
  </si>
  <si>
    <t>Une défaillance peut ne pas être évidente pour le client, mais aurait des effets mineurs sur le processus ou le produit du client.</t>
  </si>
  <si>
    <t>Faible : les échecs sont rares.</t>
  </si>
  <si>
    <t>Une occurrence tous les trois à cinq ans ou 2 occurrences dans un milliard d'événements (Cpk ≈ 2,00).</t>
  </si>
  <si>
    <t>Très haut</t>
  </si>
  <si>
    <t>Tous les produits sont inspectés à 100% automatiquement.</t>
  </si>
  <si>
    <t>Très limité</t>
  </si>
  <si>
    <t>L'échec créerait une nuisance mineure pour le client, mais le client peut la surmonter sans perte de performance.</t>
  </si>
  <si>
    <t>Faible : relativement peu d'échecs.</t>
  </si>
  <si>
    <t>Une occurrence tous les un à trois ans ou six occurrences sur dix millions d'événements (Cpk 1,67).</t>
  </si>
  <si>
    <t>Un programme SPC efficace est en place avec des capacités de processus (Cpk) supérieures à 1,33.</t>
  </si>
  <si>
    <t>Modérer</t>
  </si>
  <si>
    <t>Insatisfaction du client en raison de performances réduites.
L'échec peut être surmonté par des modifications du processus ou du produit du client, mais il y a une perte de performance mineure.</t>
  </si>
  <si>
    <t>Modérément faible : pannes peu fréquentes.</t>
  </si>
  <si>
    <t>Une occurrence par an ou six occurrences sur 100 000 événements (Cpk ≈ 1,33).</t>
  </si>
  <si>
    <t>Modérément élevé</t>
  </si>
  <si>
    <t>La SPC est utilisée et il y a une réaction immédiate aux conditions hors de contrôle.</t>
  </si>
  <si>
    <t>Limité</t>
  </si>
  <si>
    <t>Le client est mal à l'aise ou sa productivité est réduite par la dégradation continue de l'effet.
L'échec crée une perte de performance suffisante pour amener le client à se plaindre.</t>
  </si>
  <si>
    <t>Modéré : échecs occasionnels.</t>
  </si>
  <si>
    <t>Une occurrence tous les six mois à un an ou cinq occurrences sur 10 000 événements (Cpk ≈ 1,17).</t>
  </si>
  <si>
    <t>Un certain contrôle statistique des processus (SPC) est utilisé dans le processus et le produit est inspecté hors ligne.</t>
  </si>
  <si>
    <t>Important</t>
  </si>
  <si>
    <t>Réparation sous garantie, temps d'arrêt ou réclamation importante de fabrication ou d'assemblage.
Une défaillance entraîne un sous-système ou un dysfonctionnement partiel du produit.</t>
  </si>
  <si>
    <t>Modérément élevé : Défaillances fréquentes.</t>
  </si>
  <si>
    <t>Une occurrence tous les trois mois ou trois occurrences sur 1 000 événements (Cpk ≈ 1,00).</t>
  </si>
  <si>
    <t>Meugler</t>
  </si>
  <si>
    <t>Le produit est inspecté à 100 % manuellement à l'aide de jauges go/no-go ou d'autres jauges anti-erreur.</t>
  </si>
  <si>
    <t>Hautement significatif</t>
  </si>
  <si>
    <t>Haut degré d'insatisfaction du client en raison d'une défaillance des composants sans perte complète de fonction. Productivité impactée par des niveaux élevés de rebut ou de reprise.</t>
  </si>
  <si>
    <t>Élevé : les échecs se produisent souvent.</t>
  </si>
  <si>
    <t>Une occurrence tous les mois ou une occurrence sur 100 événements (Cpk ≈ 0,83).</t>
  </si>
  <si>
    <t>Très lent</t>
  </si>
  <si>
    <t>Le produit est inspecté à 100% manuellement dans le processus.</t>
  </si>
  <si>
    <t>Majeur</t>
  </si>
  <si>
    <t>Une panne rend l'unité inutilisable ou impropre à l'utilisation.
Très haut degré d'insatisfaction en raison de la perte de fonction sans impact négatif sur la sécurité ou les réglementations gouvernementales</t>
  </si>
  <si>
    <t>Élevé : échecs répétés.</t>
  </si>
  <si>
    <t>Une occurrence par semaine ou une probabilité de 5 occurrences sur 100 événements (Cpk ≈ 0,67).</t>
  </si>
  <si>
    <t>À distance</t>
  </si>
  <si>
    <t>Le produit est accepté sur la base de l'absence de défauts dans un échantillon.</t>
  </si>
  <si>
    <t>Critique / Dangereux avec avertissement</t>
  </si>
  <si>
    <t>Client mis en danger en raison de l'effet négatif sur les performances du système de sécurité avec avertissement avant défaillance ou violation des réglementations gouvernementales</t>
  </si>
  <si>
    <t>Élevé : les échecs se produisent presque aussi souvent qu'autrement.</t>
  </si>
  <si>
    <t>Une occurrence tous les trois à quatre jours ou une probabilité de trois occurrences sur 10 événements (Cpk 0,33).</t>
  </si>
  <si>
    <t>Très éloigné</t>
  </si>
  <si>
    <t>Le produit est échantillonné, inspecté et libéré sur la base de plans d'échantillonnage de niveau de qualité acceptable (NQA).</t>
  </si>
  <si>
    <t>Inacceptable / Dangereux sans avertissement</t>
  </si>
  <si>
    <t>Le client est en danger en raison de l'effet négatif sur les performances sûres du système sans avertissement avant une défaillance ou une violation des réglementations gouvernementales.
Une défaillance pourrait blesser le client ou un employé.</t>
  </si>
  <si>
    <t>Très élevé : L'échec est presque inévitable.</t>
  </si>
  <si>
    <t>Plus d'une occurrence par jour ou une probabilité de plus de trois occurrences sur 10 événements (Cpk &lt; 0,33).</t>
  </si>
  <si>
    <t>Incertitude absolue</t>
  </si>
  <si>
    <t>Le produit n'est pas inspecté ou le défaut causé par la défaillance n'est pas détectable.</t>
  </si>
  <si>
    <t>Limits</t>
  </si>
  <si>
    <t>RF Scale</t>
  </si>
  <si>
    <t>Design Risk Analysis</t>
  </si>
  <si>
    <t>LOW</t>
  </si>
  <si>
    <t>Process Name:</t>
  </si>
  <si>
    <t xml:space="preserve"> FMEA Team:</t>
  </si>
  <si>
    <t>Prepared by:</t>
  </si>
  <si>
    <t>HIGH</t>
  </si>
  <si>
    <t>FMEA Date (Orig):</t>
  </si>
  <si>
    <t>(Rev.):</t>
  </si>
  <si>
    <t>VERY HIGH</t>
  </si>
  <si>
    <t>Failure identification</t>
  </si>
  <si>
    <t>Severity</t>
  </si>
  <si>
    <t>Detectability</t>
  </si>
  <si>
    <t>Mitigation</t>
  </si>
  <si>
    <t>Expected value if action efficient</t>
  </si>
  <si>
    <t>Re-evaluation after action</t>
  </si>
  <si>
    <t>Risks level</t>
  </si>
  <si>
    <t>Component</t>
  </si>
  <si>
    <t>Product
Function</t>
  </si>
  <si>
    <t>Potential Failure Mode</t>
  </si>
  <si>
    <t>Identification date</t>
  </si>
  <si>
    <t>Origin</t>
  </si>
  <si>
    <t>Potential Failure Effects</t>
  </si>
  <si>
    <t>Potential Causes</t>
  </si>
  <si>
    <t>Current Process Controls</t>
  </si>
  <si>
    <t>Actions Recommended</t>
  </si>
  <si>
    <t>Actions Taken</t>
  </si>
  <si>
    <t>On going level</t>
  </si>
  <si>
    <t>Initial
Level</t>
  </si>
  <si>
    <t xml:space="preserve">What is the process step? </t>
  </si>
  <si>
    <r>
      <t xml:space="preserve">In what ways can the Component, Subsystem or System potentially fail </t>
    </r>
    <r>
      <rPr>
        <u/>
        <sz val="10"/>
        <rFont val="Calibri"/>
        <family val="2"/>
      </rPr>
      <t>and cause a safety risk</t>
    </r>
    <r>
      <rPr>
        <sz val="10"/>
        <rFont val="Calibri"/>
        <family val="2"/>
      </rPr>
      <t>?</t>
    </r>
  </si>
  <si>
    <t>Date of identification of the risk</t>
  </si>
  <si>
    <t xml:space="preserve">How the risk have been identified?
Origin of the identification of the risk. For example return of experience, specification analyse…
</t>
  </si>
  <si>
    <t>What is the impact on Safety?</t>
  </si>
  <si>
    <t>How Severe is effect
on the system?</t>
  </si>
  <si>
    <t>List every conceivable failure and/or failure mechanism for each failure mode
One potential cause per line.
Brainstorm causes:
- man
- material
- method
- machine
- environment
Determine root causes</t>
  </si>
  <si>
    <t>How frequent is cause
likely to Occur?</t>
  </si>
  <si>
    <t>What are the existing controls that either prevent the failure mode from occurring or detect it should it occur? 
All the control means corresponding to the same potential cause are in the same cell.
Detect:
-  Checks
- Planned tests
- KPI 
Prevent:
- reviews</t>
  </si>
  <si>
    <t>How probable is
Detection of cause?</t>
  </si>
  <si>
    <t>Criticity ?</t>
  </si>
  <si>
    <t xml:space="preserve"> Risk Priority # to rank
order concerns</t>
  </si>
  <si>
    <r>
      <t>What are the actions for reducing the Occurrence of the cause, or improving Detection?</t>
    </r>
    <r>
      <rPr>
        <sz val="10"/>
        <rFont val="Arial"/>
        <family val="2"/>
      </rPr>
      <t xml:space="preserve"> 
Actions should:
- eliminate failure SEV = 9/10
- Eliminate the causes  affectinf directly the result of the process
- reduce occurrence
- Improve test detection  at last option.</t>
    </r>
  </si>
  <si>
    <t>Who's Responsible for the recommended action?
(Only one responsible)</t>
  </si>
  <si>
    <t>Date action  desired completion</t>
  </si>
  <si>
    <t>How Severe is effect
to the customer?</t>
  </si>
  <si>
    <r>
      <t xml:space="preserve">What were the actions implemented?  Include completion month/year.   (Then recalculate resulting RPN.)  </t>
    </r>
    <r>
      <rPr>
        <b/>
        <sz val="10"/>
        <rFont val="Arial"/>
        <family val="2"/>
      </rPr>
      <t xml:space="preserve"> </t>
    </r>
  </si>
  <si>
    <t>Level</t>
  </si>
  <si>
    <t>Level of 1st evaluation</t>
  </si>
  <si>
    <t>See Rating factors sheet.</t>
  </si>
  <si>
    <t>D-01</t>
  </si>
  <si>
    <t>&lt;Component 1&gt;</t>
  </si>
  <si>
    <t>&lt;Function 1&gt;</t>
  </si>
  <si>
    <t>&lt;Potential Failure 1&gt;</t>
  </si>
  <si>
    <t>D-02</t>
  </si>
  <si>
    <t>&lt;Potential Failure 2&gt;</t>
  </si>
  <si>
    <t>D-03</t>
  </si>
  <si>
    <t>&lt;Potential Failure 3&gt;</t>
  </si>
  <si>
    <t>D-04</t>
  </si>
  <si>
    <t>&lt;Function 2&gt;</t>
  </si>
  <si>
    <t>D-05</t>
  </si>
  <si>
    <t>&lt;Function 3&gt;</t>
  </si>
  <si>
    <t>D-06</t>
  </si>
  <si>
    <t>D-07</t>
  </si>
  <si>
    <t>&lt;Component 2&gt;</t>
  </si>
  <si>
    <t>D-08</t>
  </si>
  <si>
    <t>D-09</t>
  </si>
  <si>
    <t>D-10</t>
  </si>
  <si>
    <t>D-11</t>
  </si>
  <si>
    <t>D-12</t>
  </si>
  <si>
    <t>D-13</t>
  </si>
  <si>
    <t>D-14</t>
  </si>
  <si>
    <t>D-15</t>
  </si>
  <si>
    <t>D-16</t>
  </si>
  <si>
    <t>D-17</t>
  </si>
  <si>
    <t>D-18</t>
  </si>
  <si>
    <t>D-19</t>
  </si>
  <si>
    <t>D-20</t>
  </si>
  <si>
    <t>D-21</t>
  </si>
  <si>
    <t>D-22</t>
  </si>
  <si>
    <t>D-23</t>
  </si>
  <si>
    <t>D-24</t>
  </si>
  <si>
    <t>D-25</t>
  </si>
  <si>
    <t>D-26</t>
  </si>
  <si>
    <t>D-27</t>
  </si>
  <si>
    <t>Produit Risk Follow-up.</t>
  </si>
  <si>
    <t>Date</t>
  </si>
  <si>
    <t>Example KOM</t>
  </si>
  <si>
    <t>Very High</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</si>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</sst>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_€_-;\-* #,##0.00\ _€_-;_-* &quot;-&quot;??\ _€_-;_-@_-"/>
    <numFmt numFmtId="165" formatCode="dd/mm/yy;@"/>
    <numFmt numFmtId="166" formatCode="_-* #,##0\ _€_-;\-* #,##0\ _€_-;_-* &quot;-&quot;??\ _€_-;_-@_-"/>
  </numFmts>
  <fonts count="72" x14ac:knownFonts="1">
    <font>
      <sz val="11"/>
      <color theme="1"/>
      <name val="Calibri"/>
      <family val="2"/>
      <scheme val="minor"/>
    </font>
    <font>
      <sz val="11"/>
      <color theme="1"/>
      <name val="Lato"/>
      <family val="2"/>
    </font>
    <font>
      <sz val="10"/>
      <name val="Calibri"/>
      <family val="2"/>
      <scheme val="minor"/>
    </font>
    <font>
      <b/>
      <sz val="10"/>
      <name val="Calibri"/>
      <family val="2"/>
      <scheme val="minor"/>
    </font>
    <font>
      <sz val="10"/>
      <name val="Arial"/>
      <family val="2"/>
    </font>
    <font>
      <b/>
      <u/>
      <sz val="12"/>
      <name val="Arial"/>
      <family val="2"/>
    </font>
    <font>
      <b/>
      <u/>
      <sz val="10"/>
      <name val="Arial"/>
      <family val="2"/>
    </font>
    <font>
      <b/>
      <sz val="10"/>
      <name val="Arial"/>
      <family val="2"/>
    </font>
    <font>
      <b/>
      <sz val="10"/>
      <color indexed="9"/>
      <name val="Arial"/>
      <family val="2"/>
    </font>
    <font>
      <b/>
      <sz val="14"/>
      <name val="Arial"/>
      <family val="2"/>
    </font>
    <font>
      <b/>
      <sz val="8"/>
      <color indexed="81"/>
      <name val="Tahoma"/>
      <family val="2"/>
    </font>
    <font>
      <b/>
      <sz val="10"/>
      <color indexed="9"/>
      <name val="Calibri"/>
      <family val="2"/>
      <scheme val="minor"/>
    </font>
    <font>
      <u/>
      <sz val="10"/>
      <name val="Calibri"/>
      <family val="2"/>
    </font>
    <font>
      <sz val="10"/>
      <name val="Calibri"/>
      <family val="2"/>
    </font>
    <font>
      <sz val="11"/>
      <color rgb="FF9C5700"/>
      <name val="Calibri"/>
      <family val="2"/>
      <scheme val="minor"/>
    </font>
    <font>
      <sz val="12"/>
      <color theme="1"/>
      <name val="Calibri"/>
      <family val="2"/>
      <scheme val="minor"/>
    </font>
    <font>
      <b/>
      <sz val="9"/>
      <color indexed="81"/>
      <name val="Tahoma"/>
      <family val="2"/>
    </font>
    <font>
      <sz val="10"/>
      <name val="Lato"/>
      <family val="2"/>
    </font>
    <font>
      <b/>
      <u/>
      <sz val="10"/>
      <name val="Lato"/>
      <family val="2"/>
    </font>
    <font>
      <sz val="10"/>
      <color theme="1"/>
      <name val="Lato"/>
      <family val="2"/>
    </font>
    <font>
      <b/>
      <sz val="10"/>
      <color theme="1"/>
      <name val="Lato"/>
      <family val="2"/>
    </font>
    <font>
      <sz val="10"/>
      <color theme="0"/>
      <name val="Lato"/>
      <family val="2"/>
    </font>
    <font>
      <b/>
      <sz val="10"/>
      <name val="Lato"/>
      <family val="2"/>
    </font>
    <font>
      <sz val="11"/>
      <color theme="1"/>
      <name val="Calibri"/>
      <family val="2"/>
      <scheme val="minor"/>
    </font>
    <font>
      <b/>
      <u/>
      <sz val="10"/>
      <color theme="1"/>
      <name val="Lato"/>
      <family val="2"/>
    </font>
    <font>
      <b/>
      <sz val="16"/>
      <name val="Arial"/>
      <family val="2"/>
    </font>
    <font>
      <b/>
      <sz val="18"/>
      <name val="Lato Black"/>
      <family val="2"/>
    </font>
    <font>
      <b/>
      <sz val="12"/>
      <color theme="2" tint="-0.749992370372631"/>
      <name val="Lato"/>
      <family val="2"/>
    </font>
    <font>
      <b/>
      <sz val="18"/>
      <color theme="0"/>
      <name val="Lato"/>
      <family val="2"/>
    </font>
    <font>
      <b/>
      <sz val="18"/>
      <color rgb="FF9C6500"/>
      <name val="Lato"/>
      <family val="2"/>
    </font>
    <font>
      <b/>
      <sz val="18"/>
      <color theme="1" tint="0.34998626667073579"/>
      <name val="Lato"/>
      <family val="2"/>
    </font>
    <font>
      <sz val="18"/>
      <color theme="1"/>
      <name val="Lato"/>
      <family val="2"/>
    </font>
    <font>
      <b/>
      <sz val="11"/>
      <color theme="1"/>
      <name val="Lato"/>
      <family val="2"/>
    </font>
    <font>
      <b/>
      <sz val="11"/>
      <color theme="1" tint="0.34998626667073579"/>
      <name val="Lato"/>
      <family val="2"/>
    </font>
    <font>
      <b/>
      <sz val="11"/>
      <color rgb="FF9C6500"/>
      <name val="Lato"/>
      <family val="2"/>
    </font>
    <font>
      <sz val="10"/>
      <color theme="1" tint="0.14999847407452621"/>
      <name val="Lato"/>
      <family val="2"/>
    </font>
    <font>
      <b/>
      <sz val="16"/>
      <color theme="1"/>
      <name val="Lato"/>
      <family val="2"/>
    </font>
    <font>
      <sz val="11"/>
      <name val="Lato"/>
      <family val="2"/>
    </font>
    <font>
      <sz val="9"/>
      <name val="Lato"/>
      <family val="2"/>
    </font>
    <font>
      <sz val="9"/>
      <color theme="1"/>
      <name val="Lato"/>
      <family val="2"/>
    </font>
    <font>
      <b/>
      <u/>
      <sz val="9"/>
      <name val="Lato"/>
      <family val="2"/>
    </font>
    <font>
      <u/>
      <sz val="9"/>
      <color theme="1"/>
      <name val="Lato"/>
      <family val="2"/>
    </font>
    <font>
      <b/>
      <sz val="9"/>
      <color rgb="FFFF0000"/>
      <name val="Lato"/>
      <family val="2"/>
    </font>
    <font>
      <sz val="9"/>
      <color theme="0"/>
      <name val="Lato"/>
      <family val="2"/>
    </font>
    <font>
      <b/>
      <sz val="11"/>
      <color theme="2" tint="-0.749992370372631"/>
      <name val="Lato Black"/>
      <family val="2"/>
    </font>
    <font>
      <b/>
      <sz val="11"/>
      <color theme="5" tint="-0.499984740745262"/>
      <name val="Lato"/>
      <family val="2"/>
    </font>
    <font>
      <b/>
      <sz val="9"/>
      <color theme="1"/>
      <name val="Lato"/>
      <family val="2"/>
    </font>
    <font>
      <b/>
      <sz val="9"/>
      <name val="Lato"/>
      <family val="2"/>
    </font>
    <font>
      <i/>
      <sz val="9"/>
      <color theme="1"/>
      <name val="Lato"/>
      <family val="2"/>
    </font>
    <font>
      <b/>
      <sz val="12"/>
      <name val="Lato"/>
      <family val="2"/>
    </font>
    <font>
      <b/>
      <sz val="10"/>
      <color indexed="9"/>
      <name val="Lato"/>
      <family val="2"/>
    </font>
    <font>
      <sz val="12"/>
      <color theme="0"/>
      <name val="Lato Black"/>
      <family val="2"/>
    </font>
    <font>
      <sz val="12"/>
      <color theme="5" tint="-0.499984740745262"/>
      <name val="Lato Black"/>
      <family val="2"/>
    </font>
    <font>
      <sz val="9"/>
      <color rgb="FFFF0000"/>
      <name val="Lato"/>
      <family val="2"/>
    </font>
    <font>
      <i/>
      <sz val="9"/>
      <name val="Lato"/>
      <family val="2"/>
    </font>
    <font>
      <b/>
      <sz val="12"/>
      <color theme="0"/>
      <name val="Lato Black"/>
      <family val="2"/>
    </font>
    <font>
      <b/>
      <sz val="12"/>
      <color theme="5" tint="-0.499984740745262"/>
      <name val="Lato Black"/>
      <family val="2"/>
    </font>
    <font>
      <u/>
      <sz val="11"/>
      <color theme="10"/>
      <name val="Calibri"/>
      <family val="2"/>
      <scheme val="minor"/>
    </font>
    <font>
      <b/>
      <sz val="16"/>
      <color theme="0"/>
      <name val="Lato Black"/>
      <family val="2"/>
    </font>
    <font>
      <sz val="16"/>
      <color theme="0"/>
      <name val="Lato Black"/>
      <family val="2"/>
    </font>
    <font>
      <sz val="9"/>
      <color theme="1"/>
      <name val="Lato Black"/>
      <family val="2"/>
    </font>
    <font>
      <sz val="9"/>
      <color rgb="FF000000"/>
      <name val="Lato"/>
      <family val="2"/>
    </font>
    <font>
      <u/>
      <sz val="14"/>
      <color theme="10"/>
      <name val="Calibri"/>
      <family val="2"/>
      <scheme val="minor"/>
    </font>
    <font>
      <sz val="14"/>
      <color theme="10"/>
      <name val="Calibri"/>
      <family val="2"/>
      <scheme val="minor"/>
    </font>
    <font>
      <sz val="9"/>
      <color theme="5" tint="-0.499984740745262"/>
      <name val="Lato Black"/>
      <family val="2"/>
    </font>
    <font>
      <sz val="9"/>
      <name val="Lato Black"/>
      <family val="2"/>
    </font>
    <font>
      <sz val="14"/>
      <color theme="10"/>
      <name val="Lato Black"/>
      <family val="2"/>
    </font>
    <font>
      <u/>
      <sz val="14"/>
      <color theme="10"/>
      <name val="Lato Black"/>
      <family val="2"/>
    </font>
    <font>
      <sz val="11"/>
      <name val="Lato Black"/>
      <family val="2"/>
    </font>
    <font>
      <u/>
      <sz val="14"/>
      <color theme="4"/>
      <name val="Lato Black"/>
      <family val="2"/>
    </font>
    <font>
      <u/>
      <sz val="12"/>
      <color theme="10"/>
      <name val="Lato Black"/>
      <family val="2"/>
    </font>
    <font>
      <sz val="11"/>
      <color theme="0"/>
      <name val="Lato"/>
      <family val="2"/>
    </font>
  </fonts>
  <fills count="28">
    <fill>
      <patternFill patternType="none"/>
    </fill>
    <fill>
      <patternFill patternType="gray125"/>
    </fill>
    <fill>
      <patternFill patternType="solid">
        <fgColor rgb="FF00B0F0"/>
        <bgColor indexed="64"/>
      </patternFill>
    </fill>
    <fill>
      <patternFill patternType="solid">
        <fgColor theme="6" tint="0.59999389629810485"/>
        <bgColor indexed="64"/>
      </patternFill>
    </fill>
    <fill>
      <patternFill patternType="solid">
        <fgColor rgb="FFFFFF99"/>
        <bgColor indexed="64"/>
      </patternFill>
    </fill>
    <fill>
      <patternFill patternType="solid">
        <fgColor rgb="FFFFC000"/>
        <bgColor indexed="64"/>
      </patternFill>
    </fill>
    <fill>
      <patternFill patternType="solid">
        <fgColor rgb="FFFF0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indexed="9"/>
        <bgColor indexed="64"/>
      </patternFill>
    </fill>
    <fill>
      <patternFill patternType="solid">
        <fgColor theme="0"/>
        <bgColor indexed="64"/>
      </patternFill>
    </fill>
    <fill>
      <patternFill patternType="solid">
        <fgColor indexed="44"/>
        <bgColor indexed="64"/>
      </patternFill>
    </fill>
    <fill>
      <patternFill patternType="solid">
        <fgColor indexed="22"/>
        <bgColor indexed="64"/>
      </patternFill>
    </fill>
    <fill>
      <patternFill patternType="solid">
        <fgColor indexed="47"/>
        <bgColor indexed="64"/>
      </patternFill>
    </fill>
    <fill>
      <patternFill patternType="solid">
        <fgColor rgb="FFFFEB9C"/>
      </patternFill>
    </fill>
    <fill>
      <patternFill patternType="solid">
        <fgColor theme="7" tint="0.59999389629810485"/>
        <bgColor indexed="64"/>
      </patternFill>
    </fill>
    <fill>
      <patternFill patternType="solid">
        <fgColor theme="1" tint="4.9989318521683403E-2"/>
        <bgColor indexed="64"/>
      </patternFill>
    </fill>
    <fill>
      <patternFill patternType="solid">
        <fgColor rgb="FF92D050"/>
        <bgColor indexed="64"/>
      </patternFill>
    </fill>
    <fill>
      <patternFill patternType="solid">
        <fgColor theme="4" tint="-0.499984740745262"/>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39997558519241921"/>
        <bgColor indexed="64"/>
      </patternFill>
    </fill>
  </fills>
  <borders count="8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FF0000"/>
      </left>
      <right/>
      <top style="thin">
        <color indexed="64"/>
      </top>
      <bottom/>
      <diagonal/>
    </border>
    <border>
      <left style="thin">
        <color indexed="64"/>
      </left>
      <right style="medium">
        <color rgb="FFFF0000"/>
      </right>
      <top style="medium">
        <color rgb="FFFF0000"/>
      </top>
      <bottom/>
      <diagonal/>
    </border>
    <border>
      <left/>
      <right style="thin">
        <color indexed="64"/>
      </right>
      <top/>
      <bottom/>
      <diagonal/>
    </border>
    <border>
      <left style="thin">
        <color indexed="64"/>
      </left>
      <right style="medium">
        <color rgb="FFFF0000"/>
      </right>
      <top/>
      <bottom/>
      <diagonal/>
    </border>
    <border>
      <left/>
      <right/>
      <top style="medium">
        <color rgb="FFFF0000"/>
      </top>
      <bottom style="thin">
        <color indexed="64"/>
      </bottom>
      <diagonal/>
    </border>
    <border>
      <left style="medium">
        <color rgb="FFFF0000"/>
      </left>
      <right/>
      <top/>
      <bottom/>
      <diagonal/>
    </border>
    <border>
      <left/>
      <right style="thin">
        <color indexed="64"/>
      </right>
      <top style="medium">
        <color rgb="FFFF0000"/>
      </top>
      <bottom style="thin">
        <color indexed="64"/>
      </bottom>
      <diagonal/>
    </border>
    <border>
      <left style="thin">
        <color indexed="64"/>
      </left>
      <right/>
      <top style="medium">
        <color rgb="FFFF0000"/>
      </top>
      <bottom/>
      <diagonal/>
    </border>
    <border>
      <left/>
      <right/>
      <top style="dotted">
        <color indexed="64"/>
      </top>
      <bottom style="dotted">
        <color indexed="64"/>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style="thin">
        <color theme="2" tint="-9.9948118533890809E-2"/>
      </left>
      <right style="thin">
        <color theme="2" tint="-9.9948118533890809E-2"/>
      </right>
      <top style="thin">
        <color theme="2" tint="-9.9917600024414813E-2"/>
      </top>
      <bottom style="thin">
        <color theme="2" tint="-9.9917600024414813E-2"/>
      </bottom>
      <diagonal/>
    </border>
    <border>
      <left style="thin">
        <color indexed="64"/>
      </left>
      <right/>
      <top/>
      <bottom/>
      <diagonal/>
    </border>
    <border>
      <left style="thin">
        <color theme="2" tint="-9.9948118533890809E-2"/>
      </left>
      <right style="thin">
        <color theme="2" tint="-9.9948118533890809E-2"/>
      </right>
      <top style="thin">
        <color theme="4" tint="0.39997558519241921"/>
      </top>
      <bottom style="thin">
        <color theme="2" tint="-9.9917600024414813E-2"/>
      </bottom>
      <diagonal/>
    </border>
    <border>
      <left style="thin">
        <color theme="2" tint="-9.9948118533890809E-2"/>
      </left>
      <right/>
      <top style="thin">
        <color theme="2" tint="-9.9917600024414813E-2"/>
      </top>
      <bottom style="thin">
        <color theme="2" tint="-9.9917600024414813E-2"/>
      </bottom>
      <diagonal/>
    </border>
    <border>
      <left/>
      <right style="thin">
        <color theme="2" tint="-9.9948118533890809E-2"/>
      </right>
      <top style="thin">
        <color theme="2" tint="-9.9917600024414813E-2"/>
      </top>
      <bottom style="thin">
        <color theme="2" tint="-9.9917600024414813E-2"/>
      </bottom>
      <diagonal/>
    </border>
    <border>
      <left style="thin">
        <color theme="2" tint="-9.9948118533890809E-2"/>
      </left>
      <right/>
      <top style="thin">
        <color theme="2" tint="-9.9917600024414813E-2"/>
      </top>
      <bottom/>
      <diagonal/>
    </border>
    <border>
      <left/>
      <right/>
      <top style="thin">
        <color theme="2" tint="-9.9917600024414813E-2"/>
      </top>
      <bottom/>
      <diagonal/>
    </border>
    <border>
      <left/>
      <right style="thin">
        <color theme="2" tint="-9.9948118533890809E-2"/>
      </right>
      <top style="thin">
        <color theme="2" tint="-9.9917600024414813E-2"/>
      </top>
      <bottom/>
      <diagonal/>
    </border>
  </borders>
  <cellStyleXfs count="6">
    <xf numFmtId="0" fontId="0" fillId="0" borderId="0"/>
    <xf numFmtId="0" fontId="4" fillId="0" borderId="0"/>
    <xf numFmtId="0" fontId="4" fillId="0" borderId="0"/>
    <xf numFmtId="0" fontId="14" fillId="17" borderId="0" applyNumberFormat="0" applyBorder="0" applyAlignment="0" applyProtection="0"/>
    <xf numFmtId="164" fontId="23" fillId="0" borderId="0" applyFont="0" applyFill="0" applyBorder="0" applyAlignment="0" applyProtection="0"/>
    <xf numFmtId="0" fontId="57" fillId="0" borderId="0" applyNumberFormat="0" applyFill="0" applyBorder="0" applyAlignment="0" applyProtection="0"/>
  </cellStyleXfs>
  <cellXfs count="574">
    <xf numFmtId="0" fontId="0" fillId="0" borderId="0" xfId="0"/>
    <xf numFmtId="0" fontId="5" fillId="0" borderId="0" xfId="2" applyFont="1"/>
    <xf numFmtId="0" fontId="4" fillId="0" borderId="0" xfId="2"/>
    <xf numFmtId="0" fontId="4" fillId="0" borderId="0" xfId="2" applyAlignment="1">
      <alignment horizontal="left"/>
    </xf>
    <xf numFmtId="0" fontId="4" fillId="0" borderId="0" xfId="2" applyAlignment="1">
      <alignment horizontal="left" vertical="top" wrapText="1"/>
    </xf>
    <xf numFmtId="0" fontId="2" fillId="0" borderId="0" xfId="2" applyFont="1"/>
    <xf numFmtId="0" fontId="2" fillId="0" borderId="0" xfId="2" applyFont="1" applyAlignment="1">
      <alignment horizontal="right"/>
    </xf>
    <xf numFmtId="0" fontId="4" fillId="0" borderId="18" xfId="2" applyBorder="1" applyAlignment="1">
      <alignment horizontal="left" vertical="top" wrapText="1"/>
    </xf>
    <xf numFmtId="0" fontId="4" fillId="0" borderId="19" xfId="2" applyBorder="1" applyAlignment="1">
      <alignment horizontal="left" vertical="top" wrapText="1"/>
    </xf>
    <xf numFmtId="0" fontId="4" fillId="0" borderId="20" xfId="2" applyBorder="1" applyAlignment="1" applyProtection="1">
      <alignment horizontal="center" vertical="center" wrapText="1"/>
      <protection locked="0"/>
    </xf>
    <xf numFmtId="0" fontId="4" fillId="0" borderId="20" xfId="2" applyBorder="1" applyAlignment="1">
      <alignment horizontal="left" vertical="top" wrapText="1"/>
    </xf>
    <xf numFmtId="0" fontId="4" fillId="0" borderId="1" xfId="2" applyBorder="1" applyAlignment="1" applyProtection="1">
      <alignment horizontal="left" vertical="center" wrapText="1"/>
      <protection locked="0"/>
    </xf>
    <xf numFmtId="0" fontId="4" fillId="0" borderId="4" xfId="2" applyBorder="1" applyAlignment="1" applyProtection="1">
      <alignment vertical="center" wrapText="1"/>
      <protection locked="0"/>
    </xf>
    <xf numFmtId="0" fontId="4" fillId="0" borderId="2" xfId="2" applyBorder="1" applyAlignment="1" applyProtection="1">
      <alignment vertical="center" wrapText="1"/>
      <protection locked="0"/>
    </xf>
    <xf numFmtId="0" fontId="4" fillId="0" borderId="0" xfId="2" applyAlignment="1" applyProtection="1">
      <alignment vertical="center" wrapText="1"/>
      <protection locked="0"/>
    </xf>
    <xf numFmtId="0" fontId="4" fillId="0" borderId="21" xfId="2" applyBorder="1" applyAlignment="1">
      <alignment horizontal="left" vertical="top" wrapText="1"/>
    </xf>
    <xf numFmtId="0" fontId="4" fillId="0" borderId="22" xfId="2" applyBorder="1" applyAlignment="1">
      <alignment horizontal="left" vertical="top" wrapText="1"/>
    </xf>
    <xf numFmtId="14" fontId="4" fillId="0" borderId="23" xfId="2" applyNumberFormat="1" applyBorder="1" applyAlignment="1" applyProtection="1">
      <alignment horizontal="center" vertical="center"/>
      <protection locked="0"/>
    </xf>
    <xf numFmtId="0" fontId="4" fillId="0" borderId="23" xfId="2" applyBorder="1" applyAlignment="1">
      <alignment horizontal="left" vertical="top" wrapText="1"/>
    </xf>
    <xf numFmtId="0" fontId="4" fillId="0" borderId="1" xfId="2" applyBorder="1" applyAlignment="1" applyProtection="1">
      <alignment vertical="center"/>
      <protection locked="0"/>
    </xf>
    <xf numFmtId="0" fontId="4" fillId="0" borderId="1" xfId="2" applyBorder="1" applyAlignment="1" applyProtection="1">
      <alignment vertical="center" wrapText="1"/>
      <protection locked="0"/>
    </xf>
    <xf numFmtId="0" fontId="4" fillId="0" borderId="2" xfId="2" applyBorder="1" applyAlignment="1" applyProtection="1">
      <alignment horizontal="center" vertical="center" wrapText="1"/>
      <protection locked="0"/>
    </xf>
    <xf numFmtId="0" fontId="4" fillId="0" borderId="0" xfId="2" applyAlignment="1" applyProtection="1">
      <alignment horizontal="center" vertical="center" wrapText="1"/>
      <protection locked="0"/>
    </xf>
    <xf numFmtId="14" fontId="4" fillId="0" borderId="0" xfId="2" applyNumberFormat="1" applyAlignment="1" applyProtection="1">
      <alignment horizontal="center" vertical="center"/>
      <protection locked="0"/>
    </xf>
    <xf numFmtId="0" fontId="4" fillId="0" borderId="0" xfId="2" applyAlignment="1" applyProtection="1">
      <alignment horizontal="left" vertical="top"/>
      <protection locked="0"/>
    </xf>
    <xf numFmtId="0" fontId="4" fillId="0" borderId="0" xfId="2" applyAlignment="1" applyProtection="1">
      <alignment vertical="center"/>
      <protection locked="0"/>
    </xf>
    <xf numFmtId="0" fontId="2" fillId="0" borderId="0" xfId="2" applyFont="1" applyAlignment="1">
      <alignment horizontal="center" vertical="center" wrapText="1"/>
    </xf>
    <xf numFmtId="0" fontId="4" fillId="0" borderId="0" xfId="2" applyAlignment="1">
      <alignment horizontal="left" vertical="center" wrapText="1"/>
    </xf>
    <xf numFmtId="0" fontId="2" fillId="0" borderId="0" xfId="2" applyFont="1" applyAlignment="1">
      <alignment horizontal="right" vertical="center" wrapText="1"/>
    </xf>
    <xf numFmtId="0" fontId="7" fillId="0" borderId="0" xfId="2" applyFont="1"/>
    <xf numFmtId="0" fontId="7" fillId="0" borderId="24" xfId="2" applyFont="1" applyBorder="1"/>
    <xf numFmtId="0" fontId="7" fillId="0" borderId="25" xfId="2" applyFont="1" applyBorder="1"/>
    <xf numFmtId="0" fontId="7" fillId="0" borderId="25" xfId="2" applyFont="1" applyBorder="1" applyAlignment="1">
      <alignment horizontal="left" vertical="center" wrapText="1"/>
    </xf>
    <xf numFmtId="0" fontId="7" fillId="0" borderId="26" xfId="2" applyFont="1" applyBorder="1"/>
    <xf numFmtId="0" fontId="7" fillId="9" borderId="6" xfId="2" quotePrefix="1" applyFont="1" applyFill="1" applyBorder="1" applyAlignment="1">
      <alignment horizontal="left" vertical="top" wrapText="1"/>
    </xf>
    <xf numFmtId="0" fontId="7" fillId="9" borderId="8" xfId="2" quotePrefix="1" applyFont="1" applyFill="1" applyBorder="1" applyAlignment="1">
      <alignment horizontal="left" vertical="top" wrapText="1"/>
    </xf>
    <xf numFmtId="0" fontId="7" fillId="10" borderId="6" xfId="2" quotePrefix="1" applyFont="1" applyFill="1" applyBorder="1" applyAlignment="1">
      <alignment horizontal="left" vertical="top" wrapText="1"/>
    </xf>
    <xf numFmtId="0" fontId="7" fillId="10" borderId="8" xfId="2" quotePrefix="1" applyFont="1" applyFill="1" applyBorder="1" applyAlignment="1">
      <alignment horizontal="left" vertical="top" wrapText="1"/>
    </xf>
    <xf numFmtId="0" fontId="7" fillId="11" borderId="6" xfId="2" applyFont="1" applyFill="1" applyBorder="1" applyAlignment="1">
      <alignment horizontal="left" vertical="top" wrapText="1"/>
    </xf>
    <xf numFmtId="0" fontId="7" fillId="11" borderId="8" xfId="2" applyFont="1" applyFill="1" applyBorder="1" applyAlignment="1">
      <alignment horizontal="left" vertical="top" wrapText="1"/>
    </xf>
    <xf numFmtId="0" fontId="7" fillId="0" borderId="27" xfId="2" applyFont="1" applyBorder="1" applyAlignment="1">
      <alignment horizontal="left" vertical="center"/>
    </xf>
    <xf numFmtId="0" fontId="7" fillId="0" borderId="28" xfId="2" applyFont="1" applyBorder="1" applyAlignment="1">
      <alignment horizontal="left" vertical="center"/>
    </xf>
    <xf numFmtId="0" fontId="7" fillId="0" borderId="24" xfId="2" applyFont="1" applyBorder="1" applyAlignment="1">
      <alignment horizontal="left" vertical="center" wrapText="1"/>
    </xf>
    <xf numFmtId="0" fontId="7" fillId="0" borderId="6" xfId="2" applyFont="1" applyBorder="1" applyAlignment="1">
      <alignment horizontal="left" vertical="center"/>
    </xf>
    <xf numFmtId="0" fontId="7" fillId="0" borderId="7" xfId="2" applyFont="1" applyBorder="1" applyAlignment="1">
      <alignment horizontal="left" vertical="center" wrapText="1"/>
    </xf>
    <xf numFmtId="0" fontId="7" fillId="0" borderId="8" xfId="2" applyFont="1" applyBorder="1" applyAlignment="1">
      <alignment horizontal="left" vertical="center" wrapText="1"/>
    </xf>
    <xf numFmtId="0" fontId="7" fillId="0" borderId="26" xfId="2" applyFont="1" applyBorder="1" applyAlignment="1">
      <alignment horizontal="left" vertical="center" wrapText="1"/>
    </xf>
    <xf numFmtId="0" fontId="8" fillId="2" borderId="10" xfId="2" applyFont="1" applyFill="1" applyBorder="1" applyAlignment="1">
      <alignment horizontal="center" vertical="center" wrapText="1"/>
    </xf>
    <xf numFmtId="0" fontId="8" fillId="2" borderId="27" xfId="2" applyFont="1" applyFill="1" applyBorder="1" applyAlignment="1">
      <alignment horizontal="center" vertical="center" wrapText="1"/>
    </xf>
    <xf numFmtId="0" fontId="8" fillId="2" borderId="29" xfId="2" applyFont="1" applyFill="1" applyBorder="1" applyAlignment="1">
      <alignment horizontal="center" vertical="center" wrapText="1"/>
    </xf>
    <xf numFmtId="0" fontId="8" fillId="2" borderId="30" xfId="2" applyFont="1" applyFill="1" applyBorder="1" applyAlignment="1">
      <alignment horizontal="center" vertical="center" wrapText="1"/>
    </xf>
    <xf numFmtId="0" fontId="8" fillId="2" borderId="31" xfId="2" applyFont="1" applyFill="1" applyBorder="1" applyAlignment="1">
      <alignment horizontal="center" vertical="center" wrapText="1"/>
    </xf>
    <xf numFmtId="0" fontId="8" fillId="2" borderId="31" xfId="2" applyFont="1" applyFill="1" applyBorder="1" applyAlignment="1">
      <alignment horizontal="center" vertical="center" textRotation="255" wrapText="1"/>
    </xf>
    <xf numFmtId="0" fontId="8" fillId="2" borderId="28" xfId="2" applyFont="1" applyFill="1" applyBorder="1" applyAlignment="1">
      <alignment horizontal="center" vertical="center" textRotation="255" wrapText="1"/>
    </xf>
    <xf numFmtId="0" fontId="8" fillId="2" borderId="27" xfId="2" applyFont="1" applyFill="1" applyBorder="1" applyAlignment="1">
      <alignment horizontal="center" vertical="center" textRotation="255" wrapText="1"/>
    </xf>
    <xf numFmtId="0" fontId="8" fillId="2" borderId="29" xfId="2" applyFont="1" applyFill="1" applyBorder="1" applyAlignment="1">
      <alignment horizontal="center" vertical="center" textRotation="255" wrapText="1"/>
    </xf>
    <xf numFmtId="0" fontId="8" fillId="2" borderId="30" xfId="2" applyFont="1" applyFill="1" applyBorder="1" applyAlignment="1">
      <alignment horizontal="center" vertical="center" textRotation="255" wrapText="1"/>
    </xf>
    <xf numFmtId="0" fontId="4" fillId="8" borderId="37" xfId="2" applyFill="1" applyBorder="1" applyAlignment="1">
      <alignment horizontal="center" vertical="center" wrapText="1" readingOrder="1"/>
    </xf>
    <xf numFmtId="0" fontId="4" fillId="8" borderId="38" xfId="2" applyFill="1" applyBorder="1" applyAlignment="1">
      <alignment horizontal="left" vertical="center" wrapText="1" readingOrder="1"/>
    </xf>
    <xf numFmtId="0" fontId="4" fillId="8" borderId="38" xfId="2" applyFill="1" applyBorder="1" applyAlignment="1">
      <alignment horizontal="center" vertical="center" textRotation="90" wrapText="1"/>
    </xf>
    <xf numFmtId="0" fontId="4" fillId="12" borderId="0" xfId="2" applyFill="1" applyAlignment="1">
      <alignment vertical="top" wrapText="1"/>
    </xf>
    <xf numFmtId="0" fontId="4" fillId="8" borderId="44" xfId="2" applyFill="1" applyBorder="1" applyAlignment="1">
      <alignment horizontal="left" vertical="top" wrapText="1"/>
    </xf>
    <xf numFmtId="0" fontId="4" fillId="8" borderId="45" xfId="2" applyFill="1" applyBorder="1" applyAlignment="1">
      <alignment horizontal="left" vertical="top" wrapText="1"/>
    </xf>
    <xf numFmtId="0" fontId="4" fillId="0" borderId="12" xfId="2" applyBorder="1" applyAlignment="1">
      <alignment horizontal="left" vertical="top" wrapText="1"/>
    </xf>
    <xf numFmtId="0" fontId="4" fillId="0" borderId="46" xfId="2" applyBorder="1" applyAlignment="1">
      <alignment horizontal="left" vertical="top" wrapText="1"/>
    </xf>
    <xf numFmtId="0" fontId="4" fillId="0" borderId="47" xfId="2" applyBorder="1" applyAlignment="1">
      <alignment horizontal="left" vertical="top" wrapText="1"/>
    </xf>
    <xf numFmtId="0" fontId="4" fillId="0" borderId="48" xfId="2" applyBorder="1" applyAlignment="1">
      <alignment horizontal="center" vertical="top" wrapText="1"/>
    </xf>
    <xf numFmtId="0" fontId="4" fillId="9" borderId="2" xfId="2" applyFill="1" applyBorder="1" applyAlignment="1">
      <alignment horizontal="left" vertical="top" wrapText="1"/>
    </xf>
    <xf numFmtId="0" fontId="4" fillId="9" borderId="49" xfId="2" applyFill="1" applyBorder="1" applyAlignment="1">
      <alignment horizontal="center" vertical="top" wrapText="1"/>
    </xf>
    <xf numFmtId="0" fontId="4" fillId="10" borderId="2" xfId="2" applyFill="1" applyBorder="1" applyAlignment="1">
      <alignment horizontal="left" vertical="top" wrapText="1"/>
    </xf>
    <xf numFmtId="0" fontId="4" fillId="10" borderId="49" xfId="2" applyFill="1" applyBorder="1" applyAlignment="1">
      <alignment horizontal="center" vertical="top" wrapText="1"/>
    </xf>
    <xf numFmtId="0" fontId="4" fillId="11" borderId="2" xfId="2" quotePrefix="1" applyFill="1" applyBorder="1" applyAlignment="1">
      <alignment horizontal="left" vertical="top" wrapText="1"/>
    </xf>
    <xf numFmtId="0" fontId="4" fillId="11" borderId="49" xfId="2" applyFill="1" applyBorder="1" applyAlignment="1">
      <alignment horizontal="center" vertical="top" wrapText="1"/>
    </xf>
    <xf numFmtId="0" fontId="4" fillId="0" borderId="46" xfId="2" applyBorder="1" applyAlignment="1">
      <alignment horizontal="center" vertical="top" wrapText="1"/>
    </xf>
    <xf numFmtId="0" fontId="4" fillId="13" borderId="48" xfId="2" applyFill="1" applyBorder="1" applyAlignment="1">
      <alignment horizontal="center" vertical="top" wrapText="1"/>
    </xf>
    <xf numFmtId="0" fontId="4" fillId="9" borderId="46" xfId="2" applyFill="1" applyBorder="1" applyAlignment="1">
      <alignment horizontal="center" vertical="top" wrapText="1"/>
    </xf>
    <xf numFmtId="0" fontId="4" fillId="10" borderId="3" xfId="2" applyFill="1" applyBorder="1" applyAlignment="1">
      <alignment horizontal="center" vertical="top" wrapText="1"/>
    </xf>
    <xf numFmtId="0" fontId="4" fillId="11" borderId="48" xfId="2" applyFill="1" applyBorder="1" applyAlignment="1">
      <alignment horizontal="center" vertical="top" wrapText="1"/>
    </xf>
    <xf numFmtId="0" fontId="2" fillId="13" borderId="46" xfId="2" applyFont="1" applyFill="1" applyBorder="1" applyAlignment="1">
      <alignment horizontal="center" vertical="top" wrapText="1"/>
    </xf>
    <xf numFmtId="0" fontId="4" fillId="0" borderId="48" xfId="2" quotePrefix="1" applyBorder="1" applyAlignment="1">
      <alignment horizontal="left" vertical="top" wrapText="1"/>
    </xf>
    <xf numFmtId="0" fontId="4" fillId="13" borderId="46" xfId="2" applyFill="1" applyBorder="1" applyAlignment="1">
      <alignment horizontal="center" vertical="top" wrapText="1"/>
    </xf>
    <xf numFmtId="0" fontId="2" fillId="0" borderId="0" xfId="2" applyFont="1" applyAlignment="1">
      <alignment horizontal="left" vertical="top" wrapText="1"/>
    </xf>
    <xf numFmtId="0" fontId="4" fillId="10" borderId="2" xfId="2" quotePrefix="1" applyFill="1" applyBorder="1" applyAlignment="1">
      <alignment horizontal="left" vertical="top" wrapText="1"/>
    </xf>
    <xf numFmtId="0" fontId="4" fillId="11" borderId="2" xfId="2" applyFill="1" applyBorder="1" applyAlignment="1">
      <alignment horizontal="left" vertical="top" wrapText="1"/>
    </xf>
    <xf numFmtId="0" fontId="4" fillId="9" borderId="2" xfId="2" quotePrefix="1" applyFill="1" applyBorder="1" applyAlignment="1">
      <alignment horizontal="left" vertical="top" wrapText="1"/>
    </xf>
    <xf numFmtId="0" fontId="4" fillId="0" borderId="46" xfId="2" quotePrefix="1" applyBorder="1" applyAlignment="1">
      <alignment horizontal="left" vertical="top" wrapText="1"/>
    </xf>
    <xf numFmtId="0" fontId="4" fillId="0" borderId="3" xfId="2" applyBorder="1" applyAlignment="1">
      <alignment horizontal="left" vertical="top" wrapText="1"/>
    </xf>
    <xf numFmtId="0" fontId="4" fillId="0" borderId="48" xfId="2" applyBorder="1" applyAlignment="1">
      <alignment horizontal="left" vertical="top" wrapText="1"/>
    </xf>
    <xf numFmtId="0" fontId="4" fillId="0" borderId="1" xfId="2" applyBorder="1" applyAlignment="1">
      <alignment horizontal="left" vertical="top" wrapText="1"/>
    </xf>
    <xf numFmtId="14" fontId="4" fillId="0" borderId="3" xfId="2" applyNumberFormat="1" applyBorder="1" applyAlignment="1">
      <alignment horizontal="center" vertical="top" wrapText="1"/>
    </xf>
    <xf numFmtId="0" fontId="4" fillId="0" borderId="14" xfId="2" applyBorder="1" applyAlignment="1">
      <alignment horizontal="left" vertical="top" wrapText="1"/>
    </xf>
    <xf numFmtId="0" fontId="4" fillId="0" borderId="51" xfId="2" applyBorder="1" applyAlignment="1">
      <alignment horizontal="left" vertical="top" wrapText="1"/>
    </xf>
    <xf numFmtId="0" fontId="4" fillId="0" borderId="17" xfId="2" applyBorder="1" applyAlignment="1">
      <alignment horizontal="left" vertical="top" wrapText="1"/>
    </xf>
    <xf numFmtId="0" fontId="4" fillId="0" borderId="45" xfId="2" applyBorder="1" applyAlignment="1">
      <alignment horizontal="center" vertical="top" wrapText="1"/>
    </xf>
    <xf numFmtId="0" fontId="4" fillId="0" borderId="44" xfId="2" applyBorder="1" applyAlignment="1">
      <alignment horizontal="center" vertical="top" wrapText="1"/>
    </xf>
    <xf numFmtId="0" fontId="4" fillId="9" borderId="51" xfId="2" applyFill="1" applyBorder="1" applyAlignment="1">
      <alignment horizontal="left" vertical="top" wrapText="1"/>
    </xf>
    <xf numFmtId="0" fontId="4" fillId="9" borderId="44" xfId="2" applyFill="1" applyBorder="1" applyAlignment="1">
      <alignment horizontal="center" vertical="top" wrapText="1"/>
    </xf>
    <xf numFmtId="0" fontId="4" fillId="10" borderId="16" xfId="2" applyFill="1" applyBorder="1" applyAlignment="1">
      <alignment horizontal="left" vertical="top" wrapText="1"/>
    </xf>
    <xf numFmtId="0" fontId="4" fillId="10" borderId="44" xfId="2" applyFill="1" applyBorder="1" applyAlignment="1">
      <alignment horizontal="center" vertical="top" wrapText="1"/>
    </xf>
    <xf numFmtId="0" fontId="4" fillId="11" borderId="16" xfId="2" applyFill="1" applyBorder="1" applyAlignment="1">
      <alignment horizontal="left" vertical="top" wrapText="1"/>
    </xf>
    <xf numFmtId="0" fontId="4" fillId="11" borderId="44" xfId="2" applyFill="1" applyBorder="1" applyAlignment="1">
      <alignment horizontal="center" vertical="top" wrapText="1"/>
    </xf>
    <xf numFmtId="0" fontId="4" fillId="0" borderId="51" xfId="2" applyBorder="1" applyAlignment="1">
      <alignment horizontal="center" vertical="top" wrapText="1"/>
    </xf>
    <xf numFmtId="0" fontId="4" fillId="13" borderId="44" xfId="2" applyFill="1" applyBorder="1" applyAlignment="1">
      <alignment horizontal="center" vertical="top" wrapText="1"/>
    </xf>
    <xf numFmtId="0" fontId="4" fillId="9" borderId="51" xfId="2" applyFill="1" applyBorder="1" applyAlignment="1">
      <alignment horizontal="center" vertical="top" wrapText="1"/>
    </xf>
    <xf numFmtId="0" fontId="4" fillId="10" borderId="45" xfId="2" applyFill="1" applyBorder="1" applyAlignment="1">
      <alignment horizontal="center" vertical="top" wrapText="1"/>
    </xf>
    <xf numFmtId="0" fontId="2" fillId="13" borderId="51" xfId="2" applyFont="1" applyFill="1" applyBorder="1" applyAlignment="1">
      <alignment horizontal="center" vertical="top" wrapText="1"/>
    </xf>
    <xf numFmtId="0" fontId="4" fillId="0" borderId="44" xfId="2" applyBorder="1" applyAlignment="1">
      <alignment horizontal="left" vertical="top" wrapText="1"/>
    </xf>
    <xf numFmtId="0" fontId="4" fillId="13" borderId="51" xfId="2" applyFill="1" applyBorder="1" applyAlignment="1">
      <alignment horizontal="center" vertical="top" wrapText="1"/>
    </xf>
    <xf numFmtId="0" fontId="9" fillId="0" borderId="0" xfId="2" applyFont="1"/>
    <xf numFmtId="0" fontId="6" fillId="0" borderId="0" xfId="2" applyFont="1"/>
    <xf numFmtId="14" fontId="4" fillId="0" borderId="3" xfId="2" applyNumberFormat="1" applyBorder="1"/>
    <xf numFmtId="0" fontId="7" fillId="14" borderId="3" xfId="2" applyFont="1" applyFill="1" applyBorder="1" applyAlignment="1">
      <alignment horizontal="center" vertical="center"/>
    </xf>
    <xf numFmtId="49" fontId="7" fillId="14" borderId="3" xfId="2" applyNumberFormat="1" applyFont="1" applyFill="1" applyBorder="1" applyAlignment="1">
      <alignment horizontal="center" vertical="center" wrapText="1"/>
    </xf>
    <xf numFmtId="1" fontId="4" fillId="0" borderId="3" xfId="2" applyNumberFormat="1" applyBorder="1" applyAlignment="1">
      <alignment horizontal="center"/>
    </xf>
    <xf numFmtId="0" fontId="7" fillId="15" borderId="3" xfId="2" applyFont="1" applyFill="1" applyBorder="1"/>
    <xf numFmtId="0" fontId="4" fillId="0" borderId="3" xfId="2" applyBorder="1" applyAlignment="1">
      <alignment horizontal="center"/>
    </xf>
    <xf numFmtId="0" fontId="4" fillId="0" borderId="0" xfId="2" applyAlignment="1">
      <alignment horizontal="center"/>
    </xf>
    <xf numFmtId="0" fontId="4" fillId="0" borderId="0" xfId="2" applyAlignment="1">
      <alignment horizontal="center" vertical="center" wrapText="1"/>
    </xf>
    <xf numFmtId="0" fontId="8" fillId="2" borderId="24" xfId="2" applyFont="1" applyFill="1" applyBorder="1" applyAlignment="1">
      <alignment horizontal="center" vertical="center" wrapText="1"/>
    </xf>
    <xf numFmtId="0" fontId="11" fillId="2" borderId="27" xfId="2" applyFont="1" applyFill="1" applyBorder="1" applyAlignment="1">
      <alignment horizontal="center" vertical="center" wrapText="1"/>
    </xf>
    <xf numFmtId="0" fontId="11" fillId="2" borderId="29" xfId="2" applyFont="1" applyFill="1" applyBorder="1" applyAlignment="1">
      <alignment horizontal="center" vertical="center" wrapText="1"/>
    </xf>
    <xf numFmtId="0" fontId="4" fillId="8" borderId="5" xfId="2" applyFill="1" applyBorder="1" applyAlignment="1">
      <alignment horizontal="center" vertical="top" wrapText="1"/>
    </xf>
    <xf numFmtId="0" fontId="2" fillId="16" borderId="32" xfId="2" applyFont="1" applyFill="1" applyBorder="1" applyAlignment="1">
      <alignment horizontal="left" vertical="top" wrapText="1"/>
    </xf>
    <xf numFmtId="0" fontId="2" fillId="16" borderId="34" xfId="2" applyFont="1" applyFill="1" applyBorder="1" applyAlignment="1">
      <alignment horizontal="left" vertical="top" wrapText="1"/>
    </xf>
    <xf numFmtId="0" fontId="4" fillId="8" borderId="53" xfId="2" applyFill="1" applyBorder="1" applyAlignment="1">
      <alignment horizontal="center" vertical="top" wrapText="1"/>
    </xf>
    <xf numFmtId="0" fontId="4" fillId="8" borderId="39" xfId="2" applyFill="1" applyBorder="1" applyAlignment="1">
      <alignment horizontal="center" vertical="top" wrapText="1"/>
    </xf>
    <xf numFmtId="0" fontId="4" fillId="8" borderId="40" xfId="2" applyFill="1" applyBorder="1" applyAlignment="1">
      <alignment horizontal="center" vertical="top" wrapText="1"/>
    </xf>
    <xf numFmtId="0" fontId="4" fillId="0" borderId="9" xfId="2" applyBorder="1" applyAlignment="1">
      <alignment horizontal="left" vertical="top" wrapText="1"/>
    </xf>
    <xf numFmtId="0" fontId="4" fillId="0" borderId="21" xfId="2" applyBorder="1" applyAlignment="1">
      <alignment horizontal="center" vertical="top" wrapText="1"/>
    </xf>
    <xf numFmtId="14" fontId="4" fillId="0" borderId="47" xfId="2" applyNumberFormat="1" applyBorder="1" applyAlignment="1">
      <alignment horizontal="center" vertical="top" wrapText="1"/>
    </xf>
    <xf numFmtId="0" fontId="4" fillId="0" borderId="49" xfId="2" applyBorder="1" applyAlignment="1">
      <alignment horizontal="center" vertical="top" wrapText="1"/>
    </xf>
    <xf numFmtId="0" fontId="4" fillId="10" borderId="22" xfId="2" quotePrefix="1" applyFill="1" applyBorder="1" applyAlignment="1">
      <alignment horizontal="left" vertical="top" wrapText="1"/>
    </xf>
    <xf numFmtId="0" fontId="4" fillId="11" borderId="22" xfId="2" applyFill="1" applyBorder="1" applyAlignment="1">
      <alignment horizontal="left" vertical="top" wrapText="1"/>
    </xf>
    <xf numFmtId="0" fontId="4" fillId="0" borderId="54" xfId="2" applyBorder="1" applyAlignment="1">
      <alignment horizontal="center" vertical="top" wrapText="1"/>
    </xf>
    <xf numFmtId="0" fontId="4" fillId="13" borderId="37" xfId="2" applyFill="1" applyBorder="1" applyAlignment="1">
      <alignment horizontal="center" vertical="top" wrapText="1"/>
    </xf>
    <xf numFmtId="0" fontId="4" fillId="0" borderId="55" xfId="2" quotePrefix="1" applyBorder="1" applyAlignment="1">
      <alignment horizontal="left" vertical="top" wrapText="1"/>
    </xf>
    <xf numFmtId="14" fontId="4" fillId="0" borderId="47" xfId="2" applyNumberFormat="1" applyBorder="1" applyAlignment="1">
      <alignment horizontal="left" vertical="top" wrapText="1"/>
    </xf>
    <xf numFmtId="0" fontId="4" fillId="9" borderId="54" xfId="2" applyFill="1" applyBorder="1" applyAlignment="1">
      <alignment horizontal="center" vertical="top" wrapText="1"/>
    </xf>
    <xf numFmtId="0" fontId="4" fillId="10" borderId="38" xfId="2" applyFill="1" applyBorder="1" applyAlignment="1">
      <alignment horizontal="center" vertical="top" wrapText="1"/>
    </xf>
    <xf numFmtId="0" fontId="4" fillId="11" borderId="37" xfId="2" applyFill="1" applyBorder="1" applyAlignment="1">
      <alignment horizontal="center" vertical="top" wrapText="1"/>
    </xf>
    <xf numFmtId="0" fontId="2" fillId="13" borderId="54" xfId="2" applyFont="1" applyFill="1" applyBorder="1" applyAlignment="1">
      <alignment horizontal="center" vertical="top" wrapText="1"/>
    </xf>
    <xf numFmtId="0" fontId="4" fillId="0" borderId="49" xfId="2" quotePrefix="1" applyBorder="1" applyAlignment="1">
      <alignment horizontal="left" vertical="top" wrapText="1"/>
    </xf>
    <xf numFmtId="0" fontId="4" fillId="13" borderId="54" xfId="2" applyFill="1" applyBorder="1" applyAlignment="1">
      <alignment horizontal="center" vertical="top" wrapText="1"/>
    </xf>
    <xf numFmtId="0" fontId="4" fillId="0" borderId="1" xfId="2" applyBorder="1" applyAlignment="1">
      <alignment horizontal="center" vertical="top" wrapText="1"/>
    </xf>
    <xf numFmtId="14" fontId="4" fillId="0" borderId="3" xfId="2" applyNumberFormat="1" applyBorder="1" applyAlignment="1">
      <alignment horizontal="left" vertical="top" wrapText="1"/>
    </xf>
    <xf numFmtId="0" fontId="4" fillId="10" borderId="0" xfId="2" quotePrefix="1" applyFill="1" applyAlignment="1">
      <alignment horizontal="left" vertical="top" wrapText="1"/>
    </xf>
    <xf numFmtId="0" fontId="4" fillId="0" borderId="13" xfId="2" applyBorder="1" applyAlignment="1">
      <alignment horizontal="left" vertical="top" wrapText="1"/>
    </xf>
    <xf numFmtId="0" fontId="4" fillId="0" borderId="15" xfId="2" applyBorder="1" applyAlignment="1">
      <alignment horizontal="left" vertical="top" wrapText="1"/>
    </xf>
    <xf numFmtId="0" fontId="4" fillId="0" borderId="45" xfId="2" applyBorder="1" applyAlignment="1">
      <alignment horizontal="left" vertical="top" wrapText="1"/>
    </xf>
    <xf numFmtId="0" fontId="4" fillId="7" borderId="0" xfId="2" applyFill="1"/>
    <xf numFmtId="0" fontId="0" fillId="0" borderId="0" xfId="0" applyAlignment="1">
      <alignment vertical="top"/>
    </xf>
    <xf numFmtId="0" fontId="0" fillId="0" borderId="0" xfId="0" applyAlignment="1">
      <alignment vertical="top" wrapText="1"/>
    </xf>
    <xf numFmtId="0" fontId="15" fillId="0" borderId="0" xfId="0" applyFont="1" applyAlignment="1">
      <alignment vertical="top"/>
    </xf>
    <xf numFmtId="0" fontId="15" fillId="0" borderId="0" xfId="0" applyFont="1" applyAlignment="1">
      <alignment vertical="top" wrapText="1"/>
    </xf>
    <xf numFmtId="14" fontId="15" fillId="0" borderId="0" xfId="0" applyNumberFormat="1" applyFont="1" applyAlignment="1">
      <alignment horizontal="left" vertical="top"/>
    </xf>
    <xf numFmtId="0" fontId="0" fillId="0" borderId="0" xfId="0" applyAlignment="1">
      <alignment horizontal="center" vertical="top"/>
    </xf>
    <xf numFmtId="0" fontId="15" fillId="0" borderId="0" xfId="0" applyFont="1" applyAlignment="1">
      <alignment horizontal="center" vertical="top"/>
    </xf>
    <xf numFmtId="0" fontId="19" fillId="0" borderId="0" xfId="0" applyFont="1"/>
    <xf numFmtId="0" fontId="20" fillId="0" borderId="0" xfId="0" applyFont="1"/>
    <xf numFmtId="0" fontId="19" fillId="0" borderId="0" xfId="0" applyFont="1" applyAlignment="1">
      <alignment vertical="center"/>
    </xf>
    <xf numFmtId="0" fontId="17" fillId="0" borderId="0" xfId="2" applyFont="1"/>
    <xf numFmtId="0" fontId="18" fillId="0" borderId="0" xfId="2" applyFont="1" applyAlignment="1">
      <alignment horizontal="left" vertical="center"/>
    </xf>
    <xf numFmtId="0" fontId="17" fillId="0" borderId="0" xfId="2" applyFont="1" applyAlignment="1">
      <alignment vertical="top"/>
    </xf>
    <xf numFmtId="0" fontId="19" fillId="0" borderId="62" xfId="0" applyFont="1" applyBorder="1"/>
    <xf numFmtId="0" fontId="19" fillId="0" borderId="61" xfId="0" applyFont="1" applyBorder="1"/>
    <xf numFmtId="0" fontId="19" fillId="0" borderId="63" xfId="0" applyFont="1" applyBorder="1"/>
    <xf numFmtId="0" fontId="19" fillId="0" borderId="64" xfId="0" applyFont="1" applyBorder="1"/>
    <xf numFmtId="0" fontId="24" fillId="0" borderId="5" xfId="0" applyFont="1" applyBorder="1"/>
    <xf numFmtId="0" fontId="19" fillId="0" borderId="56" xfId="0" applyFont="1" applyBorder="1"/>
    <xf numFmtId="0" fontId="19" fillId="0" borderId="53" xfId="0" applyFont="1" applyBorder="1"/>
    <xf numFmtId="0" fontId="25" fillId="0" borderId="0" xfId="2" applyFont="1" applyAlignment="1">
      <alignment vertical="center"/>
    </xf>
    <xf numFmtId="0" fontId="26" fillId="0" borderId="0" xfId="2" applyFont="1" applyAlignment="1">
      <alignment vertical="center"/>
    </xf>
    <xf numFmtId="0" fontId="31" fillId="0" borderId="0" xfId="0" applyFont="1" applyAlignment="1">
      <alignment vertical="top"/>
    </xf>
    <xf numFmtId="0" fontId="33" fillId="8" borderId="76" xfId="3" applyFont="1" applyFill="1" applyBorder="1" applyAlignment="1">
      <alignment horizontal="center" vertical="center" wrapText="1"/>
    </xf>
    <xf numFmtId="0" fontId="1" fillId="0" borderId="0" xfId="0" applyFont="1" applyAlignment="1">
      <alignment vertical="center" wrapText="1"/>
    </xf>
    <xf numFmtId="0" fontId="32" fillId="0" borderId="63" xfId="0" applyFont="1" applyBorder="1" applyAlignment="1">
      <alignment horizontal="center" vertical="center"/>
    </xf>
    <xf numFmtId="0" fontId="32" fillId="0" borderId="64" xfId="0" applyFont="1" applyBorder="1" applyAlignment="1">
      <alignment horizontal="center" vertical="center"/>
    </xf>
    <xf numFmtId="0" fontId="1" fillId="0" borderId="61" xfId="0" applyFont="1" applyBorder="1" applyAlignment="1">
      <alignment horizontal="center" vertical="center"/>
    </xf>
    <xf numFmtId="0" fontId="1" fillId="20" borderId="62" xfId="0" applyFont="1" applyFill="1" applyBorder="1" applyAlignment="1">
      <alignment horizontal="center" vertical="center"/>
    </xf>
    <xf numFmtId="0" fontId="34" fillId="17" borderId="76" xfId="3" applyFont="1" applyBorder="1" applyAlignment="1">
      <alignment horizontal="center" vertical="center" wrapText="1"/>
    </xf>
    <xf numFmtId="0" fontId="35" fillId="0" borderId="75" xfId="0" applyFont="1" applyBorder="1" applyAlignment="1">
      <alignment horizontal="left" vertical="center" wrapText="1"/>
    </xf>
    <xf numFmtId="0" fontId="35" fillId="0" borderId="75" xfId="0" applyFont="1" applyBorder="1" applyAlignment="1">
      <alignment vertical="center" wrapText="1"/>
    </xf>
    <xf numFmtId="14" fontId="35" fillId="0" borderId="75" xfId="0" applyNumberFormat="1" applyFont="1" applyBorder="1" applyAlignment="1">
      <alignment horizontal="center" vertical="center" wrapText="1"/>
    </xf>
    <xf numFmtId="0" fontId="35" fillId="0" borderId="75" xfId="0" applyFont="1" applyBorder="1" applyAlignment="1">
      <alignment horizontal="center" vertical="center" wrapText="1"/>
    </xf>
    <xf numFmtId="0" fontId="35" fillId="0" borderId="75" xfId="0" applyFont="1" applyBorder="1" applyAlignment="1">
      <alignment horizontal="left" vertical="center"/>
    </xf>
    <xf numFmtId="166" fontId="35" fillId="0" borderId="74" xfId="4" applyNumberFormat="1" applyFont="1" applyBorder="1" applyAlignment="1">
      <alignment horizontal="left" vertical="center"/>
    </xf>
    <xf numFmtId="14" fontId="35" fillId="0" borderId="75" xfId="0" applyNumberFormat="1" applyFont="1" applyBorder="1" applyAlignment="1">
      <alignment horizontal="left" vertical="center" wrapText="1"/>
    </xf>
    <xf numFmtId="9" fontId="35" fillId="0" borderId="75" xfId="0" applyNumberFormat="1" applyFont="1" applyBorder="1" applyAlignment="1">
      <alignment horizontal="left" vertical="center" wrapText="1"/>
    </xf>
    <xf numFmtId="0" fontId="19" fillId="0" borderId="0" xfId="0" applyFont="1" applyAlignment="1">
      <alignment vertical="top"/>
    </xf>
    <xf numFmtId="0" fontId="19" fillId="0" borderId="61" xfId="0" applyFont="1" applyBorder="1" applyAlignment="1">
      <alignment horizontal="center"/>
    </xf>
    <xf numFmtId="0" fontId="19" fillId="20" borderId="62" xfId="0" applyFont="1" applyFill="1" applyBorder="1" applyAlignment="1">
      <alignment horizontal="center"/>
    </xf>
    <xf numFmtId="0" fontId="19" fillId="0" borderId="5" xfId="0" applyFont="1" applyBorder="1"/>
    <xf numFmtId="0" fontId="35" fillId="0" borderId="74" xfId="0" applyFont="1" applyBorder="1" applyAlignment="1">
      <alignment horizontal="center" vertical="center" wrapText="1"/>
    </xf>
    <xf numFmtId="0" fontId="35" fillId="0" borderId="74" xfId="0" applyFont="1" applyBorder="1" applyAlignment="1">
      <alignment vertical="center" wrapText="1"/>
    </xf>
    <xf numFmtId="14" fontId="35" fillId="0" borderId="74" xfId="0" applyNumberFormat="1" applyFont="1" applyBorder="1" applyAlignment="1">
      <alignment horizontal="left" vertical="center" wrapText="1"/>
    </xf>
    <xf numFmtId="9" fontId="35" fillId="0" borderId="74" xfId="0" applyNumberFormat="1" applyFont="1" applyBorder="1" applyAlignment="1">
      <alignment horizontal="left" vertical="center" wrapText="1"/>
    </xf>
    <xf numFmtId="0" fontId="35" fillId="0" borderId="74" xfId="0" applyFont="1" applyBorder="1" applyAlignment="1">
      <alignment horizontal="left" vertical="center" wrapText="1"/>
    </xf>
    <xf numFmtId="0" fontId="19" fillId="5" borderId="62" xfId="0" applyFont="1" applyFill="1" applyBorder="1" applyAlignment="1">
      <alignment horizontal="center"/>
    </xf>
    <xf numFmtId="0" fontId="19" fillId="6" borderId="62" xfId="0" applyFont="1" applyFill="1" applyBorder="1" applyAlignment="1">
      <alignment horizontal="center"/>
    </xf>
    <xf numFmtId="0" fontId="21" fillId="19" borderId="62" xfId="0" applyFont="1" applyFill="1" applyBorder="1" applyAlignment="1">
      <alignment horizontal="center"/>
    </xf>
    <xf numFmtId="14" fontId="35" fillId="0" borderId="74" xfId="0" applyNumberFormat="1" applyFont="1" applyBorder="1" applyAlignment="1">
      <alignment vertical="center" wrapText="1"/>
    </xf>
    <xf numFmtId="0" fontId="19" fillId="0" borderId="63" xfId="0" applyFont="1" applyBorder="1" applyAlignment="1">
      <alignment horizontal="center"/>
    </xf>
    <xf numFmtId="0" fontId="21" fillId="19" borderId="64" xfId="0" applyFont="1" applyFill="1" applyBorder="1" applyAlignment="1">
      <alignment horizontal="center"/>
    </xf>
    <xf numFmtId="0" fontId="36" fillId="0" borderId="0" xfId="0" applyFont="1"/>
    <xf numFmtId="0" fontId="17" fillId="0" borderId="0" xfId="2" applyFont="1" applyAlignment="1">
      <alignment vertical="center"/>
    </xf>
    <xf numFmtId="0" fontId="17" fillId="0" borderId="0" xfId="2" applyFont="1" applyAlignment="1">
      <alignment vertical="center" wrapText="1"/>
    </xf>
    <xf numFmtId="0" fontId="37" fillId="0" borderId="0" xfId="2" applyFont="1"/>
    <xf numFmtId="0" fontId="2" fillId="4" borderId="3" xfId="2" applyFont="1" applyFill="1" applyBorder="1" applyAlignment="1">
      <alignment horizontal="center" vertical="top" wrapText="1"/>
    </xf>
    <xf numFmtId="0" fontId="38" fillId="24" borderId="0" xfId="0" applyFont="1" applyFill="1" applyAlignment="1">
      <alignment wrapText="1"/>
    </xf>
    <xf numFmtId="0" fontId="39" fillId="24" borderId="0" xfId="0" applyFont="1" applyFill="1" applyAlignment="1">
      <alignment wrapText="1"/>
    </xf>
    <xf numFmtId="0" fontId="39" fillId="0" borderId="0" xfId="0" applyFont="1" applyAlignment="1">
      <alignment wrapText="1"/>
    </xf>
    <xf numFmtId="0" fontId="40" fillId="0" borderId="0" xfId="0" applyFont="1" applyAlignment="1">
      <alignment wrapText="1"/>
    </xf>
    <xf numFmtId="0" fontId="39" fillId="0" borderId="0" xfId="0" applyFont="1" applyAlignment="1">
      <alignment horizontal="left" wrapText="1"/>
    </xf>
    <xf numFmtId="0" fontId="39" fillId="0" borderId="0" xfId="0" applyFont="1"/>
    <xf numFmtId="0" fontId="39" fillId="0" borderId="0" xfId="0" quotePrefix="1" applyFont="1" applyAlignment="1">
      <alignment horizontal="left" wrapText="1"/>
    </xf>
    <xf numFmtId="0" fontId="38" fillId="13" borderId="0" xfId="0" applyFont="1" applyFill="1" applyAlignment="1">
      <alignment wrapText="1"/>
    </xf>
    <xf numFmtId="0" fontId="40" fillId="0" borderId="0" xfId="0" applyFont="1" applyAlignment="1">
      <alignment horizontal="left" wrapText="1"/>
    </xf>
    <xf numFmtId="0" fontId="38" fillId="0" borderId="0" xfId="0" applyFont="1" applyAlignment="1">
      <alignment horizontal="left" vertical="top" wrapText="1"/>
    </xf>
    <xf numFmtId="0" fontId="38" fillId="0" borderId="0" xfId="0" applyFont="1" applyAlignment="1">
      <alignment wrapText="1"/>
    </xf>
    <xf numFmtId="0" fontId="38" fillId="0" borderId="0" xfId="0" applyFont="1" applyAlignment="1">
      <alignment horizontal="left" wrapText="1"/>
    </xf>
    <xf numFmtId="0" fontId="38" fillId="0" borderId="0" xfId="0" applyFont="1" applyAlignment="1">
      <alignment horizontal="center" vertical="top"/>
    </xf>
    <xf numFmtId="0" fontId="46" fillId="0" borderId="0" xfId="0" applyFont="1"/>
    <xf numFmtId="0" fontId="39" fillId="0" borderId="18" xfId="0" applyFont="1" applyBorder="1" applyAlignment="1">
      <alignment horizontal="center" vertical="center"/>
    </xf>
    <xf numFmtId="0" fontId="39" fillId="5" borderId="65" xfId="0" applyFont="1" applyFill="1" applyBorder="1" applyAlignment="1">
      <alignment horizontal="center" vertical="center"/>
    </xf>
    <xf numFmtId="0" fontId="39" fillId="5" borderId="20" xfId="0" applyFont="1" applyFill="1" applyBorder="1" applyAlignment="1">
      <alignment horizontal="center" vertical="center"/>
    </xf>
    <xf numFmtId="0" fontId="39" fillId="6" borderId="20" xfId="0" applyFont="1" applyFill="1" applyBorder="1" applyAlignment="1">
      <alignment horizontal="center" vertical="center"/>
    </xf>
    <xf numFmtId="0" fontId="43" fillId="19" borderId="19" xfId="0" applyFont="1" applyFill="1" applyBorder="1" applyAlignment="1">
      <alignment horizontal="center" vertical="center"/>
    </xf>
    <xf numFmtId="0" fontId="39" fillId="0" borderId="52" xfId="0" applyFont="1" applyBorder="1" applyAlignment="1">
      <alignment horizontal="center" vertical="center"/>
    </xf>
    <xf numFmtId="0" fontId="39" fillId="20" borderId="66" xfId="0" applyFont="1" applyFill="1" applyBorder="1" applyAlignment="1">
      <alignment horizontal="center" vertical="center"/>
    </xf>
    <xf numFmtId="0" fontId="39" fillId="5" borderId="0" xfId="0" applyFont="1" applyFill="1" applyAlignment="1">
      <alignment horizontal="center" vertical="center"/>
    </xf>
    <xf numFmtId="0" fontId="39" fillId="6" borderId="0" xfId="0" applyFont="1" applyFill="1" applyAlignment="1">
      <alignment horizontal="center" vertical="center"/>
    </xf>
    <xf numFmtId="0" fontId="43" fillId="19" borderId="67" xfId="0" applyFont="1" applyFill="1" applyBorder="1" applyAlignment="1">
      <alignment horizontal="center" vertical="center"/>
    </xf>
    <xf numFmtId="0" fontId="39" fillId="20" borderId="68" xfId="0" applyFont="1" applyFill="1" applyBorder="1" applyAlignment="1">
      <alignment horizontal="center" vertical="center"/>
    </xf>
    <xf numFmtId="0" fontId="39" fillId="6" borderId="67" xfId="0" applyFont="1" applyFill="1" applyBorder="1" applyAlignment="1">
      <alignment horizontal="center" vertical="center"/>
    </xf>
    <xf numFmtId="0" fontId="39" fillId="0" borderId="47" xfId="0" applyFont="1" applyBorder="1" applyAlignment="1">
      <alignment horizontal="center" vertical="center"/>
    </xf>
    <xf numFmtId="0" fontId="39" fillId="20" borderId="23" xfId="0" applyFont="1" applyFill="1" applyBorder="1" applyAlignment="1">
      <alignment horizontal="center" vertical="center"/>
    </xf>
    <xf numFmtId="0" fontId="39" fillId="20" borderId="69" xfId="0" applyFont="1" applyFill="1" applyBorder="1" applyAlignment="1">
      <alignment horizontal="center" vertical="center"/>
    </xf>
    <xf numFmtId="0" fontId="39" fillId="5" borderId="70" xfId="0" applyFont="1" applyFill="1" applyBorder="1" applyAlignment="1">
      <alignment horizontal="center" vertical="center"/>
    </xf>
    <xf numFmtId="0" fontId="39" fillId="5" borderId="67" xfId="0" applyFont="1" applyFill="1" applyBorder="1" applyAlignment="1">
      <alignment horizontal="center" vertical="center"/>
    </xf>
    <xf numFmtId="0" fontId="42" fillId="0" borderId="0" xfId="0" applyFont="1" applyAlignment="1">
      <alignment horizontal="left"/>
    </xf>
    <xf numFmtId="0" fontId="39" fillId="0" borderId="21" xfId="0" applyFont="1" applyBorder="1" applyAlignment="1">
      <alignment horizontal="center" vertical="center"/>
    </xf>
    <xf numFmtId="0" fontId="39" fillId="0" borderId="23" xfId="0" applyFont="1" applyBorder="1" applyAlignment="1">
      <alignment horizontal="center" vertical="center"/>
    </xf>
    <xf numFmtId="0" fontId="39" fillId="0" borderId="69" xfId="0" applyFont="1" applyBorder="1" applyAlignment="1">
      <alignment horizontal="center" vertical="center"/>
    </xf>
    <xf numFmtId="0" fontId="39" fillId="0" borderId="71" xfId="0" applyFont="1" applyBorder="1" applyAlignment="1">
      <alignment horizontal="center" vertical="center"/>
    </xf>
    <xf numFmtId="0" fontId="39" fillId="0" borderId="72" xfId="0" applyFont="1" applyBorder="1"/>
    <xf numFmtId="0" fontId="39" fillId="0" borderId="0" xfId="0" applyFont="1" applyAlignment="1">
      <alignment vertical="center"/>
    </xf>
    <xf numFmtId="0" fontId="46" fillId="0" borderId="0" xfId="0" applyFont="1" applyAlignment="1">
      <alignment horizontal="center" vertical="center"/>
    </xf>
    <xf numFmtId="0" fontId="39" fillId="20" borderId="3" xfId="0" applyFont="1" applyFill="1" applyBorder="1" applyAlignment="1">
      <alignment horizontal="center" vertical="center"/>
    </xf>
    <xf numFmtId="0" fontId="39" fillId="5" borderId="3" xfId="0" applyFont="1" applyFill="1" applyBorder="1" applyAlignment="1">
      <alignment horizontal="center" vertical="center"/>
    </xf>
    <xf numFmtId="0" fontId="39" fillId="6" borderId="3" xfId="0" applyFont="1" applyFill="1" applyBorder="1" applyAlignment="1">
      <alignment horizontal="center" vertical="center"/>
    </xf>
    <xf numFmtId="0" fontId="43" fillId="7" borderId="3" xfId="0" applyFont="1" applyFill="1" applyBorder="1" applyAlignment="1">
      <alignment horizontal="center" vertical="center"/>
    </xf>
    <xf numFmtId="0" fontId="47" fillId="0" borderId="0" xfId="0" applyFont="1" applyAlignment="1">
      <alignment horizontal="left" vertical="center"/>
    </xf>
    <xf numFmtId="0" fontId="39" fillId="0" borderId="73" xfId="0" applyFont="1" applyBorder="1" applyAlignment="1">
      <alignment horizontal="center" vertical="center"/>
    </xf>
    <xf numFmtId="0" fontId="48" fillId="0" borderId="0" xfId="0" applyFont="1" applyAlignment="1">
      <alignment horizontal="left" vertical="center" wrapText="1"/>
    </xf>
    <xf numFmtId="0" fontId="38" fillId="0" borderId="0" xfId="0" applyFont="1" applyAlignment="1">
      <alignment horizontal="justify" vertical="top" wrapText="1"/>
    </xf>
    <xf numFmtId="0" fontId="47" fillId="0" borderId="0" xfId="0" applyFont="1" applyAlignment="1">
      <alignment horizontal="center" vertical="top" wrapText="1"/>
    </xf>
    <xf numFmtId="0" fontId="38" fillId="3" borderId="3" xfId="0" applyFont="1" applyFill="1" applyBorder="1" applyAlignment="1">
      <alignment horizontal="center" vertical="top" wrapText="1"/>
    </xf>
    <xf numFmtId="0" fontId="38" fillId="4" borderId="3" xfId="0" applyFont="1" applyFill="1" applyBorder="1" applyAlignment="1">
      <alignment horizontal="center" vertical="top" wrapText="1"/>
    </xf>
    <xf numFmtId="0" fontId="38" fillId="5" borderId="3" xfId="0" applyFont="1" applyFill="1" applyBorder="1" applyAlignment="1">
      <alignment horizontal="center" vertical="top" wrapText="1"/>
    </xf>
    <xf numFmtId="0" fontId="38" fillId="6" borderId="3" xfId="0" applyFont="1" applyFill="1" applyBorder="1" applyAlignment="1">
      <alignment horizontal="center" vertical="top" wrapText="1"/>
    </xf>
    <xf numFmtId="0" fontId="17" fillId="0" borderId="0" xfId="2" applyFont="1" applyAlignment="1">
      <alignment horizontal="left"/>
    </xf>
    <xf numFmtId="0" fontId="49" fillId="8" borderId="9" xfId="2" applyFont="1" applyFill="1" applyBorder="1" applyAlignment="1">
      <alignment horizontal="center" vertical="center" wrapText="1"/>
    </xf>
    <xf numFmtId="0" fontId="17" fillId="0" borderId="10" xfId="2" applyFont="1" applyBorder="1" applyAlignment="1">
      <alignment vertical="top" wrapText="1"/>
    </xf>
    <xf numFmtId="0" fontId="17" fillId="0" borderId="11" xfId="2" applyFont="1" applyBorder="1" applyAlignment="1">
      <alignment vertical="top" wrapText="1"/>
    </xf>
    <xf numFmtId="0" fontId="17" fillId="0" borderId="38" xfId="2" applyFont="1" applyBorder="1" applyAlignment="1">
      <alignment vertical="top" wrapText="1"/>
    </xf>
    <xf numFmtId="0" fontId="49" fillId="8" borderId="12" xfId="2" applyFont="1" applyFill="1" applyBorder="1" applyAlignment="1">
      <alignment horizontal="center" vertical="center" wrapText="1"/>
    </xf>
    <xf numFmtId="0" fontId="17" fillId="0" borderId="13" xfId="2" applyFont="1" applyBorder="1" applyAlignment="1">
      <alignment vertical="top" wrapText="1"/>
    </xf>
    <xf numFmtId="0" fontId="17" fillId="0" borderId="1" xfId="2" applyFont="1" applyBorder="1" applyAlignment="1">
      <alignment vertical="top" wrapText="1"/>
    </xf>
    <xf numFmtId="0" fontId="17" fillId="0" borderId="3" xfId="2" applyFont="1" applyBorder="1" applyAlignment="1">
      <alignment vertical="top" wrapText="1"/>
    </xf>
    <xf numFmtId="0" fontId="49" fillId="8" borderId="14" xfId="2" applyFont="1" applyFill="1" applyBorder="1" applyAlignment="1">
      <alignment horizontal="center" vertical="center" wrapText="1"/>
    </xf>
    <xf numFmtId="0" fontId="17" fillId="0" borderId="15" xfId="2" applyFont="1" applyBorder="1" applyAlignment="1">
      <alignment vertical="top" wrapText="1"/>
    </xf>
    <xf numFmtId="0" fontId="17" fillId="0" borderId="17" xfId="2" applyFont="1" applyBorder="1" applyAlignment="1">
      <alignment vertical="top" wrapText="1"/>
    </xf>
    <xf numFmtId="0" fontId="17" fillId="0" borderId="45" xfId="2" applyFont="1" applyBorder="1" applyAlignment="1">
      <alignment vertical="top" wrapText="1"/>
    </xf>
    <xf numFmtId="0" fontId="37" fillId="0" borderId="0" xfId="2" applyFont="1" applyAlignment="1">
      <alignment horizontal="left"/>
    </xf>
    <xf numFmtId="0" fontId="17" fillId="0" borderId="19" xfId="2" applyFont="1" applyBorder="1" applyAlignment="1">
      <alignment horizontal="left" vertical="center" wrapText="1"/>
    </xf>
    <xf numFmtId="0" fontId="17" fillId="0" borderId="1" xfId="2" applyFont="1" applyBorder="1" applyAlignment="1" applyProtection="1">
      <alignment horizontal="left" vertical="center" wrapText="1"/>
      <protection locked="0"/>
    </xf>
    <xf numFmtId="0" fontId="17" fillId="0" borderId="4" xfId="2" applyFont="1" applyBorder="1" applyAlignment="1" applyProtection="1">
      <alignment horizontal="center" vertical="center" wrapText="1"/>
      <protection locked="0"/>
    </xf>
    <xf numFmtId="0" fontId="17" fillId="0" borderId="2" xfId="2" applyFont="1" applyBorder="1" applyAlignment="1" applyProtection="1">
      <alignment horizontal="center" vertical="center" wrapText="1"/>
      <protection locked="0"/>
    </xf>
    <xf numFmtId="0" fontId="17" fillId="0" borderId="0" xfId="2" applyFont="1" applyAlignment="1" applyProtection="1">
      <alignment vertical="center" wrapText="1"/>
      <protection locked="0"/>
    </xf>
    <xf numFmtId="0" fontId="17" fillId="0" borderId="0" xfId="2" applyFont="1" applyAlignment="1">
      <alignment horizontal="right"/>
    </xf>
    <xf numFmtId="0" fontId="17" fillId="0" borderId="0" xfId="2" applyFont="1" applyAlignment="1" applyProtection="1">
      <alignment horizontal="left" vertical="center" wrapText="1"/>
      <protection locked="0"/>
    </xf>
    <xf numFmtId="0" fontId="17" fillId="0" borderId="22" xfId="2" applyFont="1" applyBorder="1" applyAlignment="1">
      <alignment horizontal="center" vertical="top" wrapText="1"/>
    </xf>
    <xf numFmtId="0" fontId="17" fillId="0" borderId="1" xfId="2" applyFont="1" applyBorder="1" applyAlignment="1" applyProtection="1">
      <alignment vertical="center"/>
      <protection locked="0"/>
    </xf>
    <xf numFmtId="14" fontId="17" fillId="0" borderId="4" xfId="2" applyNumberFormat="1" applyFont="1" applyBorder="1" applyAlignment="1" applyProtection="1">
      <alignment vertical="center"/>
      <protection locked="0"/>
    </xf>
    <xf numFmtId="0" fontId="17" fillId="0" borderId="2" xfId="2" applyFont="1" applyBorder="1" applyAlignment="1" applyProtection="1">
      <alignment horizontal="left" vertical="center" wrapText="1"/>
      <protection locked="0"/>
    </xf>
    <xf numFmtId="0" fontId="17" fillId="0" borderId="0" xfId="2" applyFont="1" applyAlignment="1" applyProtection="1">
      <alignment horizontal="center" vertical="center" wrapText="1"/>
      <protection locked="0"/>
    </xf>
    <xf numFmtId="0" fontId="17" fillId="0" borderId="0" xfId="2" applyFont="1" applyAlignment="1">
      <alignment horizontal="left" vertical="top" wrapText="1"/>
    </xf>
    <xf numFmtId="14" fontId="17" fillId="0" borderId="0" xfId="2" applyNumberFormat="1" applyFont="1" applyAlignment="1" applyProtection="1">
      <alignment horizontal="center" vertical="center"/>
      <protection locked="0"/>
    </xf>
    <xf numFmtId="0" fontId="17" fillId="0" borderId="0" xfId="2" applyFont="1" applyAlignment="1" applyProtection="1">
      <alignment horizontal="left" vertical="top"/>
      <protection locked="0"/>
    </xf>
    <xf numFmtId="0" fontId="17" fillId="0" borderId="0" xfId="2" applyFont="1" applyAlignment="1" applyProtection="1">
      <alignment vertical="center"/>
      <protection locked="0"/>
    </xf>
    <xf numFmtId="0" fontId="17" fillId="0" borderId="0" xfId="2" applyFont="1" applyAlignment="1">
      <alignment horizontal="center" vertical="center" wrapText="1"/>
    </xf>
    <xf numFmtId="0" fontId="22" fillId="0" borderId="7" xfId="2" applyFont="1" applyBorder="1" applyAlignment="1">
      <alignment horizontal="left" vertical="center" wrapText="1"/>
    </xf>
    <xf numFmtId="0" fontId="22" fillId="0" borderId="27" xfId="2" applyFont="1" applyBorder="1" applyAlignment="1">
      <alignment horizontal="left" vertical="center"/>
    </xf>
    <xf numFmtId="0" fontId="22" fillId="0" borderId="28" xfId="2" applyFont="1" applyBorder="1" applyAlignment="1">
      <alignment horizontal="left" vertical="center"/>
    </xf>
    <xf numFmtId="0" fontId="22" fillId="0" borderId="24" xfId="2" applyFont="1" applyBorder="1" applyAlignment="1">
      <alignment horizontal="left" vertical="center" wrapText="1"/>
    </xf>
    <xf numFmtId="0" fontId="22" fillId="0" borderId="25" xfId="2" applyFont="1" applyBorder="1" applyAlignment="1">
      <alignment horizontal="left" vertical="center" wrapText="1"/>
    </xf>
    <xf numFmtId="0" fontId="22" fillId="0" borderId="6" xfId="2" applyFont="1" applyBorder="1" applyAlignment="1">
      <alignment horizontal="left" vertical="center"/>
    </xf>
    <xf numFmtId="0" fontId="22" fillId="0" borderId="8" xfId="2" applyFont="1" applyBorder="1" applyAlignment="1">
      <alignment horizontal="left" vertical="center" wrapText="1"/>
    </xf>
    <xf numFmtId="0" fontId="22" fillId="0" borderId="26" xfId="2" applyFont="1" applyBorder="1" applyAlignment="1">
      <alignment horizontal="left" vertical="center" wrapText="1"/>
    </xf>
    <xf numFmtId="0" fontId="50" fillId="7" borderId="10" xfId="2" applyFont="1" applyFill="1" applyBorder="1" applyAlignment="1">
      <alignment horizontal="center" vertical="center" wrapText="1"/>
    </xf>
    <xf numFmtId="0" fontId="50" fillId="7" borderId="27" xfId="2" applyFont="1" applyFill="1" applyBorder="1" applyAlignment="1">
      <alignment horizontal="center" vertical="center" wrapText="1"/>
    </xf>
    <xf numFmtId="0" fontId="50" fillId="7" borderId="28" xfId="2" applyFont="1" applyFill="1" applyBorder="1" applyAlignment="1">
      <alignment horizontal="center" vertical="center" wrapText="1"/>
    </xf>
    <xf numFmtId="0" fontId="50" fillId="7" borderId="29" xfId="2" applyFont="1" applyFill="1" applyBorder="1" applyAlignment="1">
      <alignment horizontal="center" vertical="center" wrapText="1"/>
    </xf>
    <xf numFmtId="0" fontId="50" fillId="7" borderId="30" xfId="2" applyFont="1" applyFill="1" applyBorder="1" applyAlignment="1">
      <alignment horizontal="center" vertical="center" wrapText="1"/>
    </xf>
    <xf numFmtId="0" fontId="50" fillId="7" borderId="31" xfId="2" applyFont="1" applyFill="1" applyBorder="1" applyAlignment="1">
      <alignment horizontal="center" vertical="center" wrapText="1"/>
    </xf>
    <xf numFmtId="0" fontId="50" fillId="7" borderId="31" xfId="2" applyFont="1" applyFill="1" applyBorder="1" applyAlignment="1">
      <alignment horizontal="center" vertical="center" textRotation="255" wrapText="1"/>
    </xf>
    <xf numFmtId="0" fontId="50" fillId="7" borderId="28" xfId="2" applyFont="1" applyFill="1" applyBorder="1" applyAlignment="1">
      <alignment horizontal="center" vertical="center" textRotation="255" wrapText="1"/>
    </xf>
    <xf numFmtId="0" fontId="50" fillId="7" borderId="27" xfId="2" applyFont="1" applyFill="1" applyBorder="1" applyAlignment="1">
      <alignment horizontal="center" vertical="center" textRotation="255" wrapText="1"/>
    </xf>
    <xf numFmtId="0" fontId="50" fillId="7" borderId="29" xfId="2" applyFont="1" applyFill="1" applyBorder="1" applyAlignment="1">
      <alignment horizontal="center" vertical="center" textRotation="255" wrapText="1"/>
    </xf>
    <xf numFmtId="0" fontId="50" fillId="7" borderId="30" xfId="2" applyFont="1" applyFill="1" applyBorder="1" applyAlignment="1">
      <alignment horizontal="center" vertical="center" textRotation="255" wrapText="1"/>
    </xf>
    <xf numFmtId="0" fontId="17" fillId="8" borderId="37" xfId="2" applyFont="1" applyFill="1" applyBorder="1" applyAlignment="1">
      <alignment horizontal="center" vertical="center" wrapText="1" readingOrder="1"/>
    </xf>
    <xf numFmtId="0" fontId="17" fillId="8" borderId="38" xfId="2" applyFont="1" applyFill="1" applyBorder="1" applyAlignment="1">
      <alignment horizontal="left" vertical="center" wrapText="1" readingOrder="1"/>
    </xf>
    <xf numFmtId="0" fontId="17" fillId="8" borderId="38" xfId="2" applyFont="1" applyFill="1" applyBorder="1" applyAlignment="1">
      <alignment horizontal="center" vertical="center" textRotation="90" wrapText="1"/>
    </xf>
    <xf numFmtId="0" fontId="17" fillId="8" borderId="44" xfId="2" applyFont="1" applyFill="1" applyBorder="1" applyAlignment="1">
      <alignment horizontal="left" vertical="top" wrapText="1"/>
    </xf>
    <xf numFmtId="0" fontId="17" fillId="0" borderId="12" xfId="2" applyFont="1" applyBorder="1" applyAlignment="1">
      <alignment horizontal="left" vertical="top" wrapText="1"/>
    </xf>
    <xf numFmtId="0" fontId="17" fillId="0" borderId="46" xfId="2" applyFont="1" applyBorder="1" applyAlignment="1">
      <alignment horizontal="left" vertical="top" wrapText="1"/>
    </xf>
    <xf numFmtId="0" fontId="17" fillId="0" borderId="47" xfId="2" applyFont="1" applyBorder="1" applyAlignment="1">
      <alignment horizontal="left" vertical="top" wrapText="1"/>
    </xf>
    <xf numFmtId="14" fontId="17" fillId="0" borderId="47" xfId="2" quotePrefix="1" applyNumberFormat="1" applyFont="1" applyBorder="1" applyAlignment="1">
      <alignment horizontal="left" vertical="top" wrapText="1"/>
    </xf>
    <xf numFmtId="0" fontId="17" fillId="0" borderId="48" xfId="2" applyFont="1" applyBorder="1" applyAlignment="1">
      <alignment horizontal="center" vertical="top" wrapText="1"/>
    </xf>
    <xf numFmtId="0" fontId="17" fillId="9" borderId="2" xfId="2" applyFont="1" applyFill="1" applyBorder="1" applyAlignment="1">
      <alignment horizontal="left" vertical="top" wrapText="1"/>
    </xf>
    <xf numFmtId="0" fontId="17" fillId="9" borderId="49" xfId="2" applyFont="1" applyFill="1" applyBorder="1" applyAlignment="1">
      <alignment horizontal="center" vertical="top" wrapText="1"/>
    </xf>
    <xf numFmtId="0" fontId="17" fillId="10" borderId="2" xfId="2" quotePrefix="1" applyFont="1" applyFill="1" applyBorder="1" applyAlignment="1">
      <alignment horizontal="left" vertical="top" wrapText="1"/>
    </xf>
    <xf numFmtId="0" fontId="17" fillId="10" borderId="49" xfId="2" applyFont="1" applyFill="1" applyBorder="1" applyAlignment="1">
      <alignment horizontal="center" vertical="top" wrapText="1"/>
    </xf>
    <xf numFmtId="0" fontId="17" fillId="11" borderId="2" xfId="2" applyFont="1" applyFill="1" applyBorder="1" applyAlignment="1">
      <alignment horizontal="left" vertical="top" wrapText="1"/>
    </xf>
    <xf numFmtId="0" fontId="17" fillId="11" borderId="49" xfId="2" applyFont="1" applyFill="1" applyBorder="1" applyAlignment="1">
      <alignment horizontal="center" vertical="top" wrapText="1"/>
    </xf>
    <xf numFmtId="0" fontId="17" fillId="0" borderId="46" xfId="2" applyFont="1" applyBorder="1" applyAlignment="1">
      <alignment horizontal="center" vertical="top" wrapText="1"/>
    </xf>
    <xf numFmtId="0" fontId="17" fillId="13" borderId="48" xfId="2" applyFont="1" applyFill="1" applyBorder="1" applyAlignment="1">
      <alignment horizontal="center" vertical="top" wrapText="1"/>
    </xf>
    <xf numFmtId="0" fontId="17" fillId="0" borderId="3" xfId="2" applyFont="1" applyBorder="1" applyAlignment="1">
      <alignment horizontal="center" vertical="center" wrapText="1"/>
    </xf>
    <xf numFmtId="165" fontId="17" fillId="0" borderId="3" xfId="2" applyNumberFormat="1" applyFont="1" applyBorder="1" applyAlignment="1">
      <alignment horizontal="center" vertical="center" wrapText="1"/>
    </xf>
    <xf numFmtId="0" fontId="17" fillId="9" borderId="46" xfId="2" applyFont="1" applyFill="1" applyBorder="1" applyAlignment="1">
      <alignment horizontal="center" vertical="top" wrapText="1"/>
    </xf>
    <xf numFmtId="0" fontId="17" fillId="10" borderId="3" xfId="2" applyFont="1" applyFill="1" applyBorder="1" applyAlignment="1">
      <alignment horizontal="center" vertical="top" wrapText="1"/>
    </xf>
    <xf numFmtId="0" fontId="17" fillId="11" borderId="48" xfId="2" applyFont="1" applyFill="1" applyBorder="1" applyAlignment="1">
      <alignment horizontal="center" vertical="top" wrapText="1"/>
    </xf>
    <xf numFmtId="0" fontId="17" fillId="13" borderId="46" xfId="2" applyFont="1" applyFill="1" applyBorder="1" applyAlignment="1">
      <alignment horizontal="center" vertical="top" wrapText="1"/>
    </xf>
    <xf numFmtId="0" fontId="17" fillId="0" borderId="48" xfId="2" quotePrefix="1" applyFont="1" applyBorder="1" applyAlignment="1">
      <alignment horizontal="left" vertical="top" wrapText="1"/>
    </xf>
    <xf numFmtId="0" fontId="17" fillId="10" borderId="2" xfId="2" applyFont="1" applyFill="1" applyBorder="1" applyAlignment="1">
      <alignment horizontal="left" vertical="top" wrapText="1"/>
    </xf>
    <xf numFmtId="0" fontId="17" fillId="0" borderId="3" xfId="2" applyFont="1" applyBorder="1" applyAlignment="1">
      <alignment horizontal="left" vertical="top" wrapText="1"/>
    </xf>
    <xf numFmtId="0" fontId="17" fillId="11" borderId="2" xfId="2" quotePrefix="1" applyFont="1" applyFill="1" applyBorder="1" applyAlignment="1">
      <alignment horizontal="left" vertical="top" wrapText="1"/>
    </xf>
    <xf numFmtId="0" fontId="17" fillId="0" borderId="48" xfId="2" applyFont="1" applyBorder="1" applyAlignment="1">
      <alignment horizontal="left" vertical="top" wrapText="1"/>
    </xf>
    <xf numFmtId="0" fontId="17" fillId="9" borderId="2" xfId="2" quotePrefix="1" applyFont="1" applyFill="1" applyBorder="1" applyAlignment="1">
      <alignment horizontal="left" vertical="top" wrapText="1"/>
    </xf>
    <xf numFmtId="0" fontId="17" fillId="0" borderId="50" xfId="2" applyFont="1" applyBorder="1" applyAlignment="1">
      <alignment horizontal="left" vertical="top" wrapText="1"/>
    </xf>
    <xf numFmtId="0" fontId="17" fillId="0" borderId="1" xfId="2" applyFont="1" applyBorder="1" applyAlignment="1">
      <alignment horizontal="left" vertical="top" wrapText="1"/>
    </xf>
    <xf numFmtId="14" fontId="17" fillId="0" borderId="3" xfId="2" applyNumberFormat="1" applyFont="1" applyBorder="1" applyAlignment="1">
      <alignment horizontal="center" vertical="top" wrapText="1"/>
    </xf>
    <xf numFmtId="0" fontId="17" fillId="0" borderId="3" xfId="2" applyFont="1" applyBorder="1" applyAlignment="1">
      <alignment horizontal="center" vertical="top" wrapText="1"/>
    </xf>
    <xf numFmtId="0" fontId="17" fillId="0" borderId="14" xfId="2" applyFont="1" applyBorder="1" applyAlignment="1">
      <alignment horizontal="left" vertical="top" wrapText="1"/>
    </xf>
    <xf numFmtId="0" fontId="17" fillId="0" borderId="51" xfId="2" applyFont="1" applyBorder="1" applyAlignment="1">
      <alignment horizontal="left" vertical="top" wrapText="1"/>
    </xf>
    <xf numFmtId="0" fontId="17" fillId="0" borderId="17" xfId="2" applyFont="1" applyBorder="1" applyAlignment="1">
      <alignment horizontal="left" vertical="top" wrapText="1"/>
    </xf>
    <xf numFmtId="0" fontId="17" fillId="0" borderId="45" xfId="2" applyFont="1" applyBorder="1" applyAlignment="1">
      <alignment horizontal="center" vertical="top" wrapText="1"/>
    </xf>
    <xf numFmtId="0" fontId="17" fillId="0" borderId="44" xfId="2" applyFont="1" applyBorder="1" applyAlignment="1">
      <alignment horizontal="center" vertical="top" wrapText="1"/>
    </xf>
    <xf numFmtId="0" fontId="17" fillId="9" borderId="51" xfId="2" applyFont="1" applyFill="1" applyBorder="1" applyAlignment="1">
      <alignment horizontal="left" vertical="top" wrapText="1"/>
    </xf>
    <xf numFmtId="0" fontId="17" fillId="9" borderId="44" xfId="2" applyFont="1" applyFill="1" applyBorder="1" applyAlignment="1">
      <alignment horizontal="center" vertical="top" wrapText="1"/>
    </xf>
    <xf numFmtId="0" fontId="17" fillId="10" borderId="16" xfId="2" applyFont="1" applyFill="1" applyBorder="1" applyAlignment="1">
      <alignment horizontal="left" vertical="top" wrapText="1"/>
    </xf>
    <xf numFmtId="0" fontId="17" fillId="10" borderId="44" xfId="2" applyFont="1" applyFill="1" applyBorder="1" applyAlignment="1">
      <alignment horizontal="center" vertical="top" wrapText="1"/>
    </xf>
    <xf numFmtId="0" fontId="17" fillId="11" borderId="16" xfId="2" applyFont="1" applyFill="1" applyBorder="1" applyAlignment="1">
      <alignment horizontal="left" vertical="top" wrapText="1"/>
    </xf>
    <xf numFmtId="0" fontId="17" fillId="11" borderId="44" xfId="2" applyFont="1" applyFill="1" applyBorder="1" applyAlignment="1">
      <alignment horizontal="center" vertical="top" wrapText="1"/>
    </xf>
    <xf numFmtId="0" fontId="17" fillId="0" borderId="51" xfId="2" applyFont="1" applyBorder="1" applyAlignment="1">
      <alignment horizontal="center" vertical="top" wrapText="1"/>
    </xf>
    <xf numFmtId="0" fontId="17" fillId="13" borderId="44" xfId="2" applyFont="1" applyFill="1" applyBorder="1" applyAlignment="1">
      <alignment horizontal="center" vertical="top" wrapText="1"/>
    </xf>
    <xf numFmtId="0" fontId="17" fillId="0" borderId="45" xfId="2" applyFont="1" applyBorder="1" applyAlignment="1">
      <alignment horizontal="center" vertical="center" wrapText="1"/>
    </xf>
    <xf numFmtId="165" fontId="17" fillId="0" borderId="45" xfId="2" applyNumberFormat="1" applyFont="1" applyBorder="1" applyAlignment="1">
      <alignment horizontal="center" vertical="center" wrapText="1"/>
    </xf>
    <xf numFmtId="0" fontId="17" fillId="9" borderId="51" xfId="2" applyFont="1" applyFill="1" applyBorder="1" applyAlignment="1">
      <alignment horizontal="center" vertical="top" wrapText="1"/>
    </xf>
    <xf numFmtId="0" fontId="17" fillId="10" borderId="45" xfId="2" applyFont="1" applyFill="1" applyBorder="1" applyAlignment="1">
      <alignment horizontal="center" vertical="top" wrapText="1"/>
    </xf>
    <xf numFmtId="0" fontId="17" fillId="13" borderId="51" xfId="2" applyFont="1" applyFill="1" applyBorder="1" applyAlignment="1">
      <alignment horizontal="center" vertical="top" wrapText="1"/>
    </xf>
    <xf numFmtId="0" fontId="17" fillId="0" borderId="44" xfId="2" applyFont="1" applyBorder="1" applyAlignment="1">
      <alignment horizontal="left" vertical="top" wrapText="1"/>
    </xf>
    <xf numFmtId="0" fontId="7" fillId="0" borderId="0" xfId="2" applyFont="1" applyAlignment="1">
      <alignment vertical="center"/>
    </xf>
    <xf numFmtId="0" fontId="22" fillId="0" borderId="6" xfId="2" applyFont="1" applyBorder="1" applyAlignment="1">
      <alignment vertical="center"/>
    </xf>
    <xf numFmtId="0" fontId="22" fillId="0" borderId="7" xfId="2" applyFont="1" applyBorder="1" applyAlignment="1">
      <alignment vertical="center"/>
    </xf>
    <xf numFmtId="0" fontId="22" fillId="0" borderId="8" xfId="2" applyFont="1" applyBorder="1" applyAlignment="1">
      <alignment vertical="center"/>
    </xf>
    <xf numFmtId="0" fontId="22" fillId="9" borderId="6" xfId="2" quotePrefix="1" applyFont="1" applyFill="1" applyBorder="1" applyAlignment="1">
      <alignment horizontal="left" vertical="center" wrapText="1"/>
    </xf>
    <xf numFmtId="0" fontId="22" fillId="9" borderId="8" xfId="2" quotePrefix="1" applyFont="1" applyFill="1" applyBorder="1" applyAlignment="1">
      <alignment horizontal="left" vertical="center" wrapText="1"/>
    </xf>
    <xf numFmtId="0" fontId="22" fillId="10" borderId="6" xfId="2" quotePrefix="1" applyFont="1" applyFill="1" applyBorder="1" applyAlignment="1">
      <alignment horizontal="left" vertical="center" wrapText="1"/>
    </xf>
    <xf numFmtId="0" fontId="22" fillId="10" borderId="8" xfId="2" quotePrefix="1" applyFont="1" applyFill="1" applyBorder="1" applyAlignment="1">
      <alignment horizontal="left" vertical="center" wrapText="1"/>
    </xf>
    <xf numFmtId="0" fontId="22" fillId="11" borderId="6" xfId="2" applyFont="1" applyFill="1" applyBorder="1" applyAlignment="1">
      <alignment horizontal="left" vertical="center" wrapText="1"/>
    </xf>
    <xf numFmtId="0" fontId="22" fillId="11" borderId="8" xfId="2" applyFont="1" applyFill="1" applyBorder="1" applyAlignment="1">
      <alignment horizontal="left" vertical="center" wrapText="1"/>
    </xf>
    <xf numFmtId="0" fontId="4" fillId="0" borderId="0" xfId="2" applyAlignment="1">
      <alignment vertical="center"/>
    </xf>
    <xf numFmtId="0" fontId="51" fillId="7" borderId="60" xfId="2" applyFont="1" applyFill="1" applyBorder="1" applyAlignment="1">
      <alignment horizontal="center" vertical="center" wrapText="1"/>
    </xf>
    <xf numFmtId="0" fontId="32" fillId="0" borderId="5" xfId="0" applyFont="1" applyBorder="1"/>
    <xf numFmtId="0" fontId="32" fillId="0" borderId="53" xfId="0" applyFont="1" applyBorder="1"/>
    <xf numFmtId="0" fontId="39" fillId="0" borderId="0" xfId="0" applyFont="1" applyAlignment="1">
      <alignment horizontal="left"/>
    </xf>
    <xf numFmtId="0" fontId="39" fillId="0" borderId="0" xfId="0" quotePrefix="1" applyFont="1" applyAlignment="1">
      <alignment horizontal="left"/>
    </xf>
    <xf numFmtId="0" fontId="41" fillId="0" borderId="0" xfId="0" applyFont="1" applyAlignment="1">
      <alignment horizontal="left"/>
    </xf>
    <xf numFmtId="0" fontId="42" fillId="0" borderId="0" xfId="0" applyFont="1"/>
    <xf numFmtId="0" fontId="56" fillId="0" borderId="0" xfId="0" applyFont="1"/>
    <xf numFmtId="0" fontId="56" fillId="0" borderId="0" xfId="2" applyFont="1"/>
    <xf numFmtId="0" fontId="27" fillId="23" borderId="0" xfId="2" applyFont="1" applyFill="1" applyAlignment="1">
      <alignment vertical="center" wrapText="1"/>
    </xf>
    <xf numFmtId="0" fontId="44" fillId="0" borderId="0" xfId="0" applyFont="1" applyAlignment="1">
      <alignment horizontal="center" wrapText="1"/>
    </xf>
    <xf numFmtId="0" fontId="29" fillId="18" borderId="76" xfId="3" applyFont="1" applyFill="1" applyBorder="1" applyAlignment="1">
      <alignment horizontal="center" vertical="top"/>
    </xf>
    <xf numFmtId="0" fontId="30" fillId="8" borderId="76" xfId="3" applyFont="1" applyFill="1" applyBorder="1" applyAlignment="1">
      <alignment horizontal="center" vertical="top"/>
    </xf>
    <xf numFmtId="0" fontId="39" fillId="0" borderId="0" xfId="0" applyFont="1" applyAlignment="1">
      <alignment horizontal="left" vertical="center"/>
    </xf>
    <xf numFmtId="0" fontId="47" fillId="0" borderId="1" xfId="0" applyFont="1" applyBorder="1" applyAlignment="1">
      <alignment horizontal="center" wrapText="1"/>
    </xf>
    <xf numFmtId="0" fontId="47" fillId="0" borderId="2" xfId="0" applyFont="1" applyBorder="1" applyAlignment="1">
      <alignment horizontal="center" wrapText="1"/>
    </xf>
    <xf numFmtId="0" fontId="39" fillId="0" borderId="0" xfId="0" applyFont="1" applyAlignment="1">
      <alignment horizontal="left" vertical="center" wrapText="1"/>
    </xf>
    <xf numFmtId="0" fontId="38" fillId="0" borderId="0" xfId="0" applyFont="1" applyAlignment="1">
      <alignment horizontal="left" vertical="top"/>
    </xf>
    <xf numFmtId="0" fontId="48" fillId="0" borderId="73" xfId="0" applyFont="1" applyBorder="1" applyAlignment="1">
      <alignment horizontal="left" vertical="center"/>
    </xf>
    <xf numFmtId="0" fontId="48" fillId="0" borderId="73" xfId="0" applyFont="1" applyBorder="1" applyAlignment="1">
      <alignment vertical="center"/>
    </xf>
    <xf numFmtId="0" fontId="38" fillId="24" borderId="0" xfId="0" applyFont="1" applyFill="1"/>
    <xf numFmtId="0" fontId="58" fillId="24" borderId="0" xfId="0" applyFont="1" applyFill="1" applyAlignment="1">
      <alignment horizontal="center" vertical="center"/>
    </xf>
    <xf numFmtId="0" fontId="55" fillId="24" borderId="0" xfId="0" applyFont="1" applyFill="1" applyAlignment="1">
      <alignment horizontal="center"/>
    </xf>
    <xf numFmtId="0" fontId="43" fillId="24" borderId="0" xfId="0" applyFont="1" applyFill="1"/>
    <xf numFmtId="0" fontId="39" fillId="0" borderId="0" xfId="0" applyFont="1" applyAlignment="1">
      <alignment horizontal="center" vertical="center"/>
    </xf>
    <xf numFmtId="0" fontId="48" fillId="0" borderId="0" xfId="0" applyFont="1" applyAlignment="1">
      <alignment horizontal="left" vertical="center"/>
    </xf>
    <xf numFmtId="0" fontId="38" fillId="0" borderId="0" xfId="0" applyFont="1" applyAlignment="1">
      <alignment vertical="top" wrapText="1"/>
    </xf>
    <xf numFmtId="0" fontId="38" fillId="0" borderId="0" xfId="0" applyFont="1" applyAlignment="1">
      <alignment vertical="top"/>
    </xf>
    <xf numFmtId="0" fontId="38" fillId="0" borderId="0" xfId="0" quotePrefix="1" applyFont="1" applyAlignment="1">
      <alignment vertical="top"/>
    </xf>
    <xf numFmtId="0" fontId="54" fillId="0" borderId="0" xfId="0" applyFont="1"/>
    <xf numFmtId="0" fontId="38" fillId="0" borderId="0" xfId="0" applyFont="1"/>
    <xf numFmtId="0" fontId="32" fillId="0" borderId="61" xfId="0" applyFont="1" applyBorder="1" applyAlignment="1">
      <alignment horizontal="center"/>
    </xf>
    <xf numFmtId="0" fontId="32" fillId="0" borderId="62" xfId="0" applyFont="1" applyBorder="1" applyAlignment="1">
      <alignment horizontal="center"/>
    </xf>
    <xf numFmtId="0" fontId="32" fillId="0" borderId="56" xfId="0" applyFont="1" applyBorder="1"/>
    <xf numFmtId="0" fontId="34" fillId="17" borderId="78" xfId="3" applyFont="1" applyBorder="1" applyAlignment="1">
      <alignment horizontal="center" vertical="center" wrapText="1"/>
    </xf>
    <xf numFmtId="0" fontId="45" fillId="5" borderId="76" xfId="3" applyFont="1" applyFill="1" applyBorder="1" applyAlignment="1">
      <alignment horizontal="center" vertical="center" wrapText="1"/>
    </xf>
    <xf numFmtId="0" fontId="27" fillId="23" borderId="0" xfId="2" applyFont="1" applyFill="1" applyAlignment="1">
      <alignment horizontal="right" vertical="center" wrapText="1"/>
    </xf>
    <xf numFmtId="0" fontId="46" fillId="0" borderId="0" xfId="0" applyFont="1" applyAlignment="1">
      <alignment horizontal="left" vertical="center"/>
    </xf>
    <xf numFmtId="0" fontId="60" fillId="0" borderId="0" xfId="0" applyFont="1"/>
    <xf numFmtId="0" fontId="39" fillId="0" borderId="3" xfId="0" applyFont="1" applyBorder="1" applyAlignment="1">
      <alignment vertical="center"/>
    </xf>
    <xf numFmtId="0" fontId="38" fillId="0" borderId="0" xfId="0" applyFont="1" applyAlignment="1">
      <alignment vertical="center"/>
    </xf>
    <xf numFmtId="0" fontId="38" fillId="0" borderId="0" xfId="0" applyFont="1" applyAlignment="1">
      <alignment horizontal="left"/>
    </xf>
    <xf numFmtId="0" fontId="38" fillId="25" borderId="0" xfId="0" applyFont="1" applyFill="1" applyAlignment="1">
      <alignment wrapText="1"/>
    </xf>
    <xf numFmtId="0" fontId="60" fillId="25" borderId="0" xfId="0" applyFont="1" applyFill="1" applyAlignment="1">
      <alignment horizontal="left" vertical="center"/>
    </xf>
    <xf numFmtId="0" fontId="48" fillId="25" borderId="0" xfId="0" applyFont="1" applyFill="1" applyAlignment="1">
      <alignment horizontal="left" vertical="center"/>
    </xf>
    <xf numFmtId="0" fontId="48" fillId="25" borderId="0" xfId="0" applyFont="1" applyFill="1" applyAlignment="1">
      <alignment horizontal="left" vertical="center" wrapText="1"/>
    </xf>
    <xf numFmtId="0" fontId="39" fillId="25" borderId="0" xfId="0" applyFont="1" applyFill="1" applyAlignment="1">
      <alignment horizontal="left" vertical="center"/>
    </xf>
    <xf numFmtId="0" fontId="39" fillId="25" borderId="0" xfId="0" applyFont="1" applyFill="1" applyAlignment="1">
      <alignment horizontal="center" vertical="center"/>
    </xf>
    <xf numFmtId="0" fontId="46" fillId="25" borderId="0" xfId="0" applyFont="1" applyFill="1" applyAlignment="1">
      <alignment horizontal="left" vertical="center"/>
    </xf>
    <xf numFmtId="0" fontId="39" fillId="0" borderId="0" xfId="0" applyFont="1" applyAlignment="1">
      <alignment horizontal="left" vertical="top"/>
    </xf>
    <xf numFmtId="0" fontId="61" fillId="0" borderId="0" xfId="0" applyFont="1"/>
    <xf numFmtId="0" fontId="45" fillId="0" borderId="0" xfId="0" applyFont="1" applyAlignment="1">
      <alignment wrapText="1"/>
    </xf>
    <xf numFmtId="0" fontId="45" fillId="0" borderId="0" xfId="0" applyFont="1"/>
    <xf numFmtId="0" fontId="47" fillId="0" borderId="0" xfId="0" applyFont="1" applyAlignment="1">
      <alignment horizontal="left" vertical="top" wrapText="1"/>
    </xf>
    <xf numFmtId="0" fontId="46" fillId="26" borderId="0" xfId="0" applyFont="1" applyFill="1" applyAlignment="1">
      <alignment horizontal="left" vertical="center"/>
    </xf>
    <xf numFmtId="0" fontId="46" fillId="27" borderId="0" xfId="0" applyFont="1" applyFill="1" applyAlignment="1">
      <alignment horizontal="left" vertical="center"/>
    </xf>
    <xf numFmtId="0" fontId="57" fillId="26" borderId="0" xfId="5" applyFill="1" applyAlignment="1">
      <alignment vertical="top"/>
    </xf>
    <xf numFmtId="0" fontId="57" fillId="27" borderId="0" xfId="5" applyFill="1" applyAlignment="1">
      <alignment vertical="top"/>
    </xf>
    <xf numFmtId="0" fontId="59" fillId="0" borderId="0" xfId="0" applyFont="1" applyAlignment="1">
      <alignment horizontal="center" vertical="center" wrapText="1"/>
    </xf>
    <xf numFmtId="0" fontId="62" fillId="0" borderId="0" xfId="5" applyFont="1" applyAlignment="1"/>
    <xf numFmtId="0" fontId="63" fillId="0" borderId="0" xfId="5" applyFont="1" applyAlignment="1"/>
    <xf numFmtId="0" fontId="64" fillId="0" borderId="0" xfId="0" applyFont="1"/>
    <xf numFmtId="0" fontId="56" fillId="0" borderId="0" xfId="0" applyFont="1" applyAlignment="1">
      <alignment wrapText="1"/>
    </xf>
    <xf numFmtId="0" fontId="47" fillId="0" borderId="0" xfId="0" applyFont="1" applyAlignment="1">
      <alignment horizontal="left"/>
    </xf>
    <xf numFmtId="0" fontId="39" fillId="0" borderId="3" xfId="0" applyFont="1" applyBorder="1" applyAlignment="1">
      <alignment horizontal="center" vertical="center"/>
    </xf>
    <xf numFmtId="0" fontId="65" fillId="13" borderId="0" xfId="0" applyFont="1" applyFill="1" applyAlignment="1">
      <alignment wrapText="1"/>
    </xf>
    <xf numFmtId="0" fontId="65" fillId="0" borderId="0" xfId="0" applyFont="1" applyAlignment="1">
      <alignment vertical="top"/>
    </xf>
    <xf numFmtId="0" fontId="66" fillId="0" borderId="0" xfId="5" applyFont="1" applyAlignment="1"/>
    <xf numFmtId="0" fontId="67" fillId="0" borderId="0" xfId="5" applyFont="1" applyAlignment="1"/>
    <xf numFmtId="0" fontId="69" fillId="0" borderId="0" xfId="5" applyFont="1" applyAlignment="1"/>
    <xf numFmtId="0" fontId="67" fillId="0" borderId="0" xfId="5" applyFont="1" applyBorder="1" applyAlignment="1">
      <alignment horizontal="left" vertical="center"/>
    </xf>
    <xf numFmtId="0" fontId="66" fillId="0" borderId="0" xfId="5" applyFont="1" applyAlignment="1">
      <alignment vertical="center"/>
    </xf>
    <xf numFmtId="0" fontId="70" fillId="0" borderId="0" xfId="5" applyFont="1" applyAlignment="1">
      <alignment horizontal="left"/>
    </xf>
    <xf numFmtId="0" fontId="22" fillId="0" borderId="0" xfId="0" applyFont="1" applyAlignment="1">
      <alignment horizontal="left" wrapText="1"/>
    </xf>
    <xf numFmtId="0" fontId="67" fillId="0" borderId="0" xfId="5" applyFont="1" applyAlignment="1">
      <alignment horizontal="left"/>
    </xf>
    <xf numFmtId="0" fontId="71" fillId="21" borderId="76" xfId="0" applyFont="1" applyFill="1" applyBorder="1" applyAlignment="1">
      <alignment horizontal="center" vertical="center"/>
    </xf>
    <xf numFmtId="0" fontId="57" fillId="18" borderId="76" xfId="5" applyFill="1" applyBorder="1" applyAlignment="1">
      <alignment horizontal="center" vertical="center" wrapText="1"/>
    </xf>
    <xf numFmtId="0" fontId="19" fillId="0" borderId="0" xfId="0" applyFont="1" applyAlignment="1">
      <alignment vertical="center" wrapText="1"/>
    </xf>
    <xf numFmtId="0" fontId="17" fillId="0" borderId="0" xfId="2" applyFont="1" applyAlignment="1">
      <alignment horizontal="left" vertical="center" wrapText="1"/>
    </xf>
    <xf numFmtId="0" fontId="57" fillId="8" borderId="76" xfId="5" applyFill="1" applyBorder="1" applyAlignment="1">
      <alignment horizontal="center" vertical="center" wrapText="1"/>
    </xf>
    <xf numFmtId="0" fontId="38" fillId="0" borderId="0" xfId="0" applyFont="1" applyAlignment="1">
      <alignment horizontal="left" vertical="top" wrapText="1"/>
    </xf>
    <xf numFmtId="0" fontId="60" fillId="25" borderId="0" xfId="0" applyFont="1" applyFill="1" applyAlignment="1">
      <alignment horizontal="center" vertical="center"/>
    </xf>
    <xf numFmtId="0" fontId="68" fillId="13" borderId="0" xfId="0" applyFont="1" applyFill="1" applyAlignment="1">
      <alignment horizontal="left" wrapText="1"/>
    </xf>
    <xf numFmtId="0" fontId="58" fillId="24" borderId="0" xfId="0" applyFont="1" applyFill="1" applyAlignment="1">
      <alignment horizontal="center" vertical="center"/>
    </xf>
    <xf numFmtId="0" fontId="44" fillId="0" borderId="0" xfId="0" applyFont="1" applyAlignment="1">
      <alignment horizontal="center" wrapText="1"/>
    </xf>
    <xf numFmtId="0" fontId="46" fillId="0" borderId="20" xfId="0" applyFont="1" applyBorder="1" applyAlignment="1">
      <alignment horizontal="center" vertical="center"/>
    </xf>
    <xf numFmtId="0" fontId="59" fillId="24" borderId="0" xfId="0" applyFont="1" applyFill="1" applyAlignment="1">
      <alignment horizontal="center" vertical="center" wrapText="1"/>
    </xf>
    <xf numFmtId="0" fontId="42" fillId="0" borderId="0" xfId="0" applyFont="1" applyAlignment="1">
      <alignment horizontal="left"/>
    </xf>
    <xf numFmtId="0" fontId="52" fillId="0" borderId="0" xfId="0" applyFont="1" applyAlignment="1">
      <alignment horizontal="left" wrapText="1"/>
    </xf>
    <xf numFmtId="0" fontId="39" fillId="0" borderId="0" xfId="0" applyFont="1" applyAlignment="1">
      <alignment horizontal="left" wrapText="1"/>
    </xf>
    <xf numFmtId="0" fontId="39" fillId="0" borderId="0" xfId="0" applyFont="1" applyAlignment="1"/>
    <xf numFmtId="0" fontId="39" fillId="0" borderId="0" xfId="0" applyFont="1" applyAlignment="1">
      <alignment horizontal="left"/>
    </xf>
    <xf numFmtId="0" fontId="25" fillId="0" borderId="0" xfId="2" applyFont="1" applyAlignment="1">
      <alignment horizontal="left" vertical="center"/>
    </xf>
    <xf numFmtId="0" fontId="29" fillId="18" borderId="76" xfId="3" applyFont="1" applyFill="1" applyBorder="1" applyAlignment="1">
      <alignment horizontal="center" vertical="top"/>
    </xf>
    <xf numFmtId="0" fontId="30" fillId="8" borderId="76" xfId="3" applyFont="1" applyFill="1" applyBorder="1" applyAlignment="1">
      <alignment horizontal="center" vertical="top"/>
    </xf>
    <xf numFmtId="0" fontId="27" fillId="23" borderId="77" xfId="2" applyFont="1" applyFill="1" applyBorder="1" applyAlignment="1">
      <alignment horizontal="left" vertical="center" wrapText="1"/>
    </xf>
    <xf numFmtId="0" fontId="27" fillId="23" borderId="0" xfId="2" applyFont="1" applyFill="1" applyAlignment="1">
      <alignment horizontal="left" vertical="center" wrapText="1"/>
    </xf>
    <xf numFmtId="0" fontId="28" fillId="22" borderId="81" xfId="0" applyFont="1" applyFill="1" applyBorder="1" applyAlignment="1">
      <alignment horizontal="center" vertical="center"/>
    </xf>
    <xf numFmtId="0" fontId="28" fillId="22" borderId="82" xfId="0" applyFont="1" applyFill="1" applyBorder="1" applyAlignment="1">
      <alignment horizontal="center" vertical="center"/>
    </xf>
    <xf numFmtId="0" fontId="28" fillId="22" borderId="83" xfId="0" applyFont="1" applyFill="1" applyBorder="1" applyAlignment="1">
      <alignment horizontal="center" vertical="center"/>
    </xf>
    <xf numFmtId="0" fontId="45" fillId="5" borderId="79" xfId="0" applyFont="1" applyFill="1" applyBorder="1" applyAlignment="1">
      <alignment horizontal="center" vertical="center"/>
    </xf>
    <xf numFmtId="0" fontId="45" fillId="5" borderId="80" xfId="0" applyFont="1" applyFill="1" applyBorder="1" applyAlignment="1">
      <alignment horizontal="center" vertical="center"/>
    </xf>
    <xf numFmtId="0" fontId="27" fillId="23" borderId="77" xfId="2" applyFont="1" applyFill="1" applyBorder="1" applyAlignment="1">
      <alignment horizontal="left" vertical="center"/>
    </xf>
    <xf numFmtId="0" fontId="27" fillId="23" borderId="0" xfId="2" applyFont="1" applyFill="1" applyAlignment="1">
      <alignment horizontal="left" vertical="center"/>
    </xf>
    <xf numFmtId="0" fontId="32" fillId="0" borderId="24" xfId="0" applyFont="1" applyBorder="1" applyAlignment="1">
      <alignment horizontal="center"/>
    </xf>
    <xf numFmtId="0" fontId="32" fillId="0" borderId="26" xfId="0" applyFont="1" applyBorder="1" applyAlignment="1">
      <alignment horizontal="center"/>
    </xf>
    <xf numFmtId="0" fontId="32" fillId="0" borderId="6" xfId="0" applyFont="1" applyBorder="1" applyAlignment="1">
      <alignment horizontal="center"/>
    </xf>
    <xf numFmtId="0" fontId="32" fillId="0" borderId="8" xfId="0" applyFont="1" applyBorder="1" applyAlignment="1">
      <alignment horizontal="center"/>
    </xf>
    <xf numFmtId="0" fontId="17" fillId="8" borderId="35" xfId="2" applyFont="1" applyFill="1" applyBorder="1" applyAlignment="1">
      <alignment horizontal="center" vertical="top" wrapText="1"/>
    </xf>
    <xf numFmtId="0" fontId="17" fillId="8" borderId="42" xfId="2" applyFont="1" applyFill="1" applyBorder="1" applyAlignment="1">
      <alignment horizontal="center" vertical="top" wrapText="1"/>
    </xf>
    <xf numFmtId="0" fontId="17" fillId="0" borderId="18" xfId="2" applyFont="1" applyBorder="1" applyAlignment="1">
      <alignment horizontal="center" vertical="center" wrapText="1"/>
    </xf>
    <xf numFmtId="0" fontId="17" fillId="0" borderId="21" xfId="2" applyFont="1" applyBorder="1" applyAlignment="1">
      <alignment horizontal="center" vertical="center" wrapText="1"/>
    </xf>
    <xf numFmtId="0" fontId="17" fillId="8" borderId="32" xfId="2" applyFont="1" applyFill="1" applyBorder="1" applyAlignment="1">
      <alignment horizontal="center" vertical="center" textRotation="90" wrapText="1"/>
    </xf>
    <xf numFmtId="0" fontId="17" fillId="8" borderId="39" xfId="2" applyFont="1" applyFill="1" applyBorder="1" applyAlignment="1">
      <alignment horizontal="center" vertical="center" textRotation="90" wrapText="1"/>
    </xf>
    <xf numFmtId="0" fontId="17" fillId="8" borderId="34" xfId="2" applyFont="1" applyFill="1" applyBorder="1" applyAlignment="1">
      <alignment horizontal="center" vertical="center" textRotation="90" wrapText="1"/>
    </xf>
    <xf numFmtId="0" fontId="17" fillId="8" borderId="41" xfId="2" applyFont="1" applyFill="1" applyBorder="1" applyAlignment="1">
      <alignment horizontal="center" vertical="center" textRotation="90" wrapText="1"/>
    </xf>
    <xf numFmtId="0" fontId="17" fillId="8" borderId="33" xfId="2" applyFont="1" applyFill="1" applyBorder="1" applyAlignment="1">
      <alignment horizontal="center" vertical="center" textRotation="90" wrapText="1"/>
    </xf>
    <xf numFmtId="0" fontId="17" fillId="8" borderId="40" xfId="2" applyFont="1" applyFill="1" applyBorder="1" applyAlignment="1">
      <alignment horizontal="center" vertical="center" textRotation="90" wrapText="1"/>
    </xf>
    <xf numFmtId="0" fontId="17" fillId="8" borderId="35" xfId="2" applyFont="1" applyFill="1" applyBorder="1" applyAlignment="1">
      <alignment horizontal="center" vertical="center" textRotation="255" wrapText="1"/>
    </xf>
    <xf numFmtId="0" fontId="17" fillId="8" borderId="42" xfId="2" applyFont="1" applyFill="1" applyBorder="1" applyAlignment="1">
      <alignment horizontal="center" vertical="center" textRotation="255" wrapText="1"/>
    </xf>
    <xf numFmtId="0" fontId="17" fillId="8" borderId="34" xfId="2" applyFont="1" applyFill="1" applyBorder="1" applyAlignment="1">
      <alignment horizontal="left" vertical="top" wrapText="1"/>
    </xf>
    <xf numFmtId="0" fontId="17" fillId="8" borderId="41" xfId="2" applyFont="1" applyFill="1" applyBorder="1" applyAlignment="1">
      <alignment horizontal="left" vertical="top" wrapText="1"/>
    </xf>
    <xf numFmtId="0" fontId="17" fillId="6" borderId="3" xfId="2" applyFont="1" applyFill="1" applyBorder="1" applyAlignment="1">
      <alignment horizontal="center" vertical="top" wrapText="1"/>
    </xf>
    <xf numFmtId="0" fontId="22" fillId="0" borderId="6" xfId="2" applyFont="1" applyBorder="1" applyAlignment="1">
      <alignment horizontal="center" vertical="center" wrapText="1"/>
    </xf>
    <xf numFmtId="0" fontId="22" fillId="0" borderId="8" xfId="2" applyFont="1" applyBorder="1" applyAlignment="1">
      <alignment horizontal="center" vertical="center" wrapText="1"/>
    </xf>
    <xf numFmtId="0" fontId="17" fillId="8" borderId="24" xfId="2" applyFont="1" applyFill="1" applyBorder="1" applyAlignment="1">
      <alignment horizontal="center" vertical="top" wrapText="1"/>
    </xf>
    <xf numFmtId="0" fontId="17" fillId="8" borderId="63" xfId="2" applyFont="1" applyFill="1" applyBorder="1" applyAlignment="1">
      <alignment horizontal="center" vertical="top" wrapText="1"/>
    </xf>
    <xf numFmtId="0" fontId="17" fillId="8" borderId="32" xfId="2" applyFont="1" applyFill="1" applyBorder="1" applyAlignment="1">
      <alignment horizontal="center" vertical="top" wrapText="1"/>
    </xf>
    <xf numFmtId="0" fontId="17" fillId="8" borderId="39" xfId="2" applyFont="1" applyFill="1" applyBorder="1" applyAlignment="1">
      <alignment horizontal="center" vertical="top" wrapText="1"/>
    </xf>
    <xf numFmtId="0" fontId="17" fillId="8" borderId="33" xfId="2" applyFont="1" applyFill="1" applyBorder="1" applyAlignment="1">
      <alignment horizontal="center" vertical="top" wrapText="1"/>
    </xf>
    <xf numFmtId="0" fontId="17" fillId="8" borderId="40" xfId="2" applyFont="1" applyFill="1" applyBorder="1" applyAlignment="1">
      <alignment horizontal="center" vertical="top" wrapText="1"/>
    </xf>
    <xf numFmtId="0" fontId="17" fillId="8" borderId="34" xfId="2" applyFont="1" applyFill="1" applyBorder="1" applyAlignment="1">
      <alignment horizontal="center" vertical="top" wrapText="1"/>
    </xf>
    <xf numFmtId="0" fontId="17" fillId="8" borderId="41" xfId="2" applyFont="1" applyFill="1" applyBorder="1" applyAlignment="1">
      <alignment horizontal="center" vertical="top" wrapText="1"/>
    </xf>
    <xf numFmtId="0" fontId="17" fillId="8" borderId="35" xfId="2" applyFont="1" applyFill="1" applyBorder="1" applyAlignment="1">
      <alignment horizontal="left" vertical="top" wrapText="1"/>
    </xf>
    <xf numFmtId="0" fontId="17" fillId="8" borderId="42" xfId="2" applyFont="1" applyFill="1" applyBorder="1" applyAlignment="1">
      <alignment horizontal="left" vertical="top" wrapText="1"/>
    </xf>
    <xf numFmtId="0" fontId="17" fillId="8" borderId="36" xfId="2" applyFont="1" applyFill="1" applyBorder="1" applyAlignment="1">
      <alignment horizontal="center" vertical="top" wrapText="1"/>
    </xf>
    <xf numFmtId="0" fontId="17" fillId="8" borderId="43" xfId="2" applyFont="1" applyFill="1" applyBorder="1" applyAlignment="1">
      <alignment horizontal="center" vertical="top" wrapText="1"/>
    </xf>
    <xf numFmtId="0" fontId="17" fillId="8" borderId="36" xfId="2" applyFont="1" applyFill="1" applyBorder="1" applyAlignment="1">
      <alignment horizontal="left" vertical="top" wrapText="1"/>
    </xf>
    <xf numFmtId="0" fontId="17" fillId="8" borderId="43" xfId="2" applyFont="1" applyFill="1" applyBorder="1" applyAlignment="1">
      <alignment horizontal="left" vertical="top" wrapText="1"/>
    </xf>
    <xf numFmtId="0" fontId="17" fillId="8" borderId="32" xfId="2" applyFont="1" applyFill="1" applyBorder="1" applyAlignment="1">
      <alignment horizontal="left" vertical="top" wrapText="1"/>
    </xf>
    <xf numFmtId="0" fontId="17" fillId="8" borderId="39" xfId="2" applyFont="1" applyFill="1" applyBorder="1" applyAlignment="1">
      <alignment horizontal="left" vertical="top" wrapText="1"/>
    </xf>
    <xf numFmtId="0" fontId="17" fillId="8" borderId="34" xfId="2" quotePrefix="1" applyFont="1" applyFill="1" applyBorder="1" applyAlignment="1">
      <alignment horizontal="center" vertical="top" wrapText="1"/>
    </xf>
    <xf numFmtId="0" fontId="17" fillId="8" borderId="41" xfId="2" quotePrefix="1" applyFont="1" applyFill="1" applyBorder="1" applyAlignment="1">
      <alignment horizontal="center" vertical="top" wrapText="1"/>
    </xf>
    <xf numFmtId="0" fontId="17" fillId="8" borderId="35" xfId="2" applyFont="1" applyFill="1" applyBorder="1" applyAlignment="1">
      <alignment horizontal="center" vertical="center" textRotation="90" wrapText="1"/>
    </xf>
    <xf numFmtId="0" fontId="17" fillId="8" borderId="42" xfId="2" applyFont="1" applyFill="1" applyBorder="1" applyAlignment="1">
      <alignment horizontal="center" vertical="center" textRotation="90" wrapText="1"/>
    </xf>
    <xf numFmtId="0" fontId="2" fillId="3" borderId="3" xfId="2" applyFont="1" applyFill="1" applyBorder="1" applyAlignment="1">
      <alignment horizontal="center" vertical="top" wrapText="1"/>
    </xf>
    <xf numFmtId="0" fontId="2" fillId="4" borderId="3" xfId="2" applyFont="1" applyFill="1" applyBorder="1" applyAlignment="1">
      <alignment horizontal="center" vertical="top" wrapText="1"/>
    </xf>
    <xf numFmtId="0" fontId="17" fillId="5" borderId="3" xfId="2" applyFont="1" applyFill="1" applyBorder="1" applyAlignment="1">
      <alignment horizontal="center" vertical="top" wrapText="1"/>
    </xf>
    <xf numFmtId="0" fontId="51" fillId="7" borderId="6" xfId="2" applyFont="1" applyFill="1" applyBorder="1" applyAlignment="1">
      <alignment horizontal="center" vertical="center" wrapText="1"/>
    </xf>
    <xf numFmtId="0" fontId="51" fillId="7" borderId="7" xfId="2" applyFont="1" applyFill="1" applyBorder="1" applyAlignment="1">
      <alignment horizontal="center" vertical="center" wrapText="1"/>
    </xf>
    <xf numFmtId="0" fontId="51" fillId="7" borderId="8" xfId="2" applyFont="1" applyFill="1" applyBorder="1" applyAlignment="1">
      <alignment horizontal="center" vertical="center" wrapText="1"/>
    </xf>
    <xf numFmtId="0" fontId="51" fillId="7" borderId="31" xfId="2" applyFont="1" applyFill="1" applyBorder="1" applyAlignment="1">
      <alignment horizontal="center" vertical="center" wrapText="1"/>
    </xf>
    <xf numFmtId="0" fontId="3" fillId="0" borderId="3" xfId="2" applyFont="1" applyBorder="1" applyAlignment="1">
      <alignment horizontal="center"/>
    </xf>
    <xf numFmtId="0" fontId="4" fillId="0" borderId="18" xfId="2" applyBorder="1" applyAlignment="1" applyProtection="1">
      <alignment horizontal="left" vertical="top" wrapText="1"/>
      <protection locked="0"/>
    </xf>
    <xf numFmtId="0" fontId="4" fillId="0" borderId="20" xfId="2" applyBorder="1" applyAlignment="1" applyProtection="1">
      <alignment horizontal="left" vertical="top"/>
      <protection locked="0"/>
    </xf>
    <xf numFmtId="0" fontId="4" fillId="0" borderId="19" xfId="2" applyBorder="1" applyAlignment="1" applyProtection="1">
      <alignment horizontal="left" vertical="top"/>
      <protection locked="0"/>
    </xf>
    <xf numFmtId="0" fontId="4" fillId="0" borderId="21" xfId="2" applyBorder="1" applyAlignment="1" applyProtection="1">
      <alignment horizontal="left" vertical="top"/>
      <protection locked="0"/>
    </xf>
    <xf numFmtId="0" fontId="4" fillId="0" borderId="23" xfId="2" applyBorder="1" applyAlignment="1" applyProtection="1">
      <alignment horizontal="left" vertical="top"/>
      <protection locked="0"/>
    </xf>
    <xf numFmtId="0" fontId="4" fillId="0" borderId="22" xfId="2" applyBorder="1" applyAlignment="1" applyProtection="1">
      <alignment horizontal="left" vertical="top"/>
      <protection locked="0"/>
    </xf>
    <xf numFmtId="0" fontId="4" fillId="0" borderId="4" xfId="2" applyBorder="1" applyAlignment="1" applyProtection="1">
      <alignment horizontal="center" vertical="center" wrapText="1"/>
      <protection locked="0"/>
    </xf>
    <xf numFmtId="0" fontId="2" fillId="5" borderId="3" xfId="2" applyFont="1" applyFill="1" applyBorder="1" applyAlignment="1">
      <alignment horizontal="center" vertical="top" wrapText="1"/>
    </xf>
    <xf numFmtId="14" fontId="4" fillId="0" borderId="4" xfId="2" applyNumberFormat="1" applyBorder="1" applyAlignment="1" applyProtection="1">
      <alignment horizontal="center" vertical="center"/>
      <protection locked="0"/>
    </xf>
    <xf numFmtId="0" fontId="2" fillId="6" borderId="3" xfId="2" applyFont="1" applyFill="1" applyBorder="1" applyAlignment="1">
      <alignment horizontal="center" vertical="top" wrapText="1"/>
    </xf>
    <xf numFmtId="0" fontId="4" fillId="8" borderId="32" xfId="2" applyFill="1" applyBorder="1" applyAlignment="1">
      <alignment horizontal="center" vertical="center" textRotation="90" wrapText="1"/>
    </xf>
    <xf numFmtId="0" fontId="4" fillId="8" borderId="39" xfId="2" applyFill="1" applyBorder="1" applyAlignment="1">
      <alignment horizontal="center" vertical="center" textRotation="90" wrapText="1"/>
    </xf>
    <xf numFmtId="0" fontId="4" fillId="8" borderId="5" xfId="2" applyFill="1" applyBorder="1" applyAlignment="1">
      <alignment horizontal="center" vertical="top" wrapText="1"/>
    </xf>
    <xf numFmtId="0" fontId="4" fillId="8" borderId="53" xfId="2" applyFill="1" applyBorder="1" applyAlignment="1">
      <alignment horizontal="center" vertical="top" wrapText="1"/>
    </xf>
    <xf numFmtId="0" fontId="4" fillId="8" borderId="34" xfId="2" applyFill="1" applyBorder="1" applyAlignment="1">
      <alignment horizontal="center" vertical="top" wrapText="1"/>
    </xf>
    <xf numFmtId="0" fontId="4" fillId="8" borderId="41" xfId="2" applyFill="1" applyBorder="1" applyAlignment="1">
      <alignment horizontal="center" vertical="top" wrapText="1"/>
    </xf>
    <xf numFmtId="0" fontId="4" fillId="8" borderId="35" xfId="2" applyFill="1" applyBorder="1" applyAlignment="1">
      <alignment horizontal="left" vertical="top" wrapText="1"/>
    </xf>
    <xf numFmtId="0" fontId="4" fillId="8" borderId="42" xfId="2" applyFill="1" applyBorder="1" applyAlignment="1">
      <alignment horizontal="left" vertical="top" wrapText="1"/>
    </xf>
    <xf numFmtId="0" fontId="4" fillId="8" borderId="36" xfId="2" applyFill="1" applyBorder="1" applyAlignment="1">
      <alignment horizontal="center" vertical="top" wrapText="1"/>
    </xf>
    <xf numFmtId="0" fontId="4" fillId="8" borderId="43" xfId="2" applyFill="1" applyBorder="1" applyAlignment="1">
      <alignment horizontal="center" vertical="top" wrapText="1"/>
    </xf>
    <xf numFmtId="0" fontId="4" fillId="8" borderId="36" xfId="2" applyFill="1" applyBorder="1" applyAlignment="1">
      <alignment horizontal="left" vertical="top" wrapText="1"/>
    </xf>
    <xf numFmtId="0" fontId="4" fillId="8" borderId="43" xfId="2" applyFill="1" applyBorder="1" applyAlignment="1">
      <alignment horizontal="left" vertical="top" wrapText="1"/>
    </xf>
    <xf numFmtId="0" fontId="4" fillId="8" borderId="34" xfId="2" applyFill="1" applyBorder="1" applyAlignment="1">
      <alignment horizontal="left" vertical="top" wrapText="1"/>
    </xf>
    <xf numFmtId="0" fontId="4" fillId="8" borderId="41" xfId="2" applyFill="1" applyBorder="1" applyAlignment="1">
      <alignment horizontal="left" vertical="top" wrapText="1"/>
    </xf>
    <xf numFmtId="0" fontId="4" fillId="8" borderId="34" xfId="2" applyFill="1" applyBorder="1" applyAlignment="1">
      <alignment horizontal="center" vertical="center" textRotation="90" wrapText="1"/>
    </xf>
    <xf numFmtId="0" fontId="4" fillId="8" borderId="41" xfId="2" applyFill="1" applyBorder="1" applyAlignment="1">
      <alignment horizontal="center" vertical="center" textRotation="90" wrapText="1"/>
    </xf>
    <xf numFmtId="0" fontId="4" fillId="8" borderId="33" xfId="2" applyFill="1" applyBorder="1" applyAlignment="1">
      <alignment horizontal="center" vertical="center" textRotation="90" wrapText="1"/>
    </xf>
    <xf numFmtId="0" fontId="4" fillId="8" borderId="40" xfId="2" applyFill="1" applyBorder="1" applyAlignment="1">
      <alignment horizontal="center" vertical="center" textRotation="90" wrapText="1"/>
    </xf>
    <xf numFmtId="0" fontId="4" fillId="8" borderId="32" xfId="2" applyFill="1" applyBorder="1" applyAlignment="1">
      <alignment horizontal="left" vertical="top" wrapText="1"/>
    </xf>
    <xf numFmtId="0" fontId="4" fillId="8" borderId="39" xfId="2" applyFill="1" applyBorder="1" applyAlignment="1">
      <alignment horizontal="left" vertical="top" wrapText="1"/>
    </xf>
    <xf numFmtId="0" fontId="4" fillId="8" borderId="34" xfId="2" quotePrefix="1" applyFill="1" applyBorder="1" applyAlignment="1">
      <alignment horizontal="center" vertical="top" wrapText="1"/>
    </xf>
    <xf numFmtId="0" fontId="4" fillId="8" borderId="41" xfId="2" quotePrefix="1" applyFill="1" applyBorder="1" applyAlignment="1">
      <alignment horizontal="center" vertical="top" wrapText="1"/>
    </xf>
    <xf numFmtId="0" fontId="4" fillId="8" borderId="35" xfId="2" applyFill="1" applyBorder="1" applyAlignment="1">
      <alignment horizontal="center" vertical="center" textRotation="90" wrapText="1"/>
    </xf>
    <xf numFmtId="0" fontId="4" fillId="8" borderId="42" xfId="2" applyFill="1" applyBorder="1" applyAlignment="1">
      <alignment horizontal="center" vertical="center" textRotation="90" wrapText="1"/>
    </xf>
    <xf numFmtId="0" fontId="4" fillId="8" borderId="35" xfId="2" applyFill="1" applyBorder="1" applyAlignment="1">
      <alignment horizontal="center" vertical="center" textRotation="255" wrapText="1"/>
    </xf>
    <xf numFmtId="0" fontId="4" fillId="8" borderId="42" xfId="2" applyFill="1" applyBorder="1" applyAlignment="1">
      <alignment horizontal="center" vertical="center" textRotation="255" wrapText="1"/>
    </xf>
    <xf numFmtId="0" fontId="4" fillId="8" borderId="35" xfId="2" applyFill="1" applyBorder="1" applyAlignment="1">
      <alignment horizontal="center" vertical="top" wrapText="1"/>
    </xf>
    <xf numFmtId="0" fontId="4" fillId="8" borderId="42" xfId="2" applyFill="1" applyBorder="1" applyAlignment="1">
      <alignment horizontal="center" vertical="top" wrapText="1"/>
    </xf>
    <xf numFmtId="0" fontId="4" fillId="0" borderId="5" xfId="2" applyBorder="1" applyAlignment="1">
      <alignment horizontal="center" vertical="top" wrapText="1"/>
    </xf>
    <xf numFmtId="0" fontId="4" fillId="0" borderId="56" xfId="2" applyBorder="1" applyAlignment="1">
      <alignment horizontal="center" vertical="top" wrapText="1"/>
    </xf>
    <xf numFmtId="0" fontId="4" fillId="0" borderId="59" xfId="2" applyBorder="1" applyAlignment="1">
      <alignment horizontal="center" vertical="top" wrapText="1"/>
    </xf>
    <xf numFmtId="0" fontId="4" fillId="0" borderId="32" xfId="2" applyBorder="1" applyAlignment="1">
      <alignment horizontal="center" vertical="top" wrapText="1"/>
    </xf>
    <xf numFmtId="0" fontId="4" fillId="0" borderId="57" xfId="2" applyBorder="1" applyAlignment="1">
      <alignment horizontal="center" vertical="top" wrapText="1"/>
    </xf>
    <xf numFmtId="0" fontId="4" fillId="0" borderId="55" xfId="2" applyBorder="1" applyAlignment="1">
      <alignment horizontal="center" vertical="top" wrapText="1"/>
    </xf>
    <xf numFmtId="0" fontId="4" fillId="0" borderId="58" xfId="2" applyBorder="1" applyAlignment="1">
      <alignment horizontal="center" vertical="top" wrapText="1"/>
    </xf>
    <xf numFmtId="0" fontId="7" fillId="15" borderId="50" xfId="2" applyFont="1" applyFill="1" applyBorder="1" applyAlignment="1">
      <alignment horizontal="center" vertical="center" textRotation="90"/>
    </xf>
    <xf numFmtId="0" fontId="7" fillId="15" borderId="52" xfId="2" applyFont="1" applyFill="1" applyBorder="1" applyAlignment="1">
      <alignment horizontal="center" vertical="center" textRotation="90"/>
    </xf>
    <xf numFmtId="0" fontId="7" fillId="15" borderId="47" xfId="2" applyFont="1" applyFill="1" applyBorder="1" applyAlignment="1">
      <alignment horizontal="center" vertical="center" textRotation="90"/>
    </xf>
  </cellXfs>
  <cellStyles count="6">
    <cellStyle name="Hyperlink" xfId="5" xr:uid="{00000000-000B-0000-0000-000008000000}"/>
    <cellStyle name="Milliers 2" xfId="4" xr:uid="{58277FDA-A2ED-46ED-A947-E54ACEB05815}"/>
    <cellStyle name="Neutral" xfId="3" builtinId="28"/>
    <cellStyle name="Normal" xfId="0" builtinId="0"/>
    <cellStyle name="Normal 2" xfId="2" xr:uid="{65F30BD9-1C8B-4ED8-97A3-D948AEA97CBD}"/>
    <cellStyle name="Normal 3" xfId="1" xr:uid="{50DC0497-33B6-4F4A-86B5-D4001BA0074F}"/>
  </cellStyles>
  <dxfs count="78">
    <dxf>
      <fill>
        <patternFill>
          <bgColor rgb="FFFFFF99"/>
        </patternFill>
      </fill>
    </dxf>
    <dxf>
      <fill>
        <patternFill>
          <bgColor rgb="FFFFC000"/>
        </patternFill>
      </fill>
    </dxf>
    <dxf>
      <fill>
        <patternFill>
          <bgColor rgb="FFFF0000"/>
        </patternFill>
      </fill>
    </dxf>
    <dxf>
      <fill>
        <patternFill>
          <bgColor theme="6" tint="0.59996337778862885"/>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rgb="FFFFFF99"/>
        </patternFill>
      </fill>
    </dxf>
    <dxf>
      <fill>
        <patternFill>
          <bgColor rgb="FFFFC000"/>
        </patternFill>
      </fill>
    </dxf>
    <dxf>
      <fill>
        <patternFill>
          <bgColor rgb="FFFF0000"/>
        </patternFill>
      </fill>
    </dxf>
    <dxf>
      <fill>
        <patternFill>
          <bgColor theme="6" tint="0.59996337778862885"/>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rgb="FFFFFF99"/>
        </patternFill>
      </fill>
    </dxf>
    <dxf>
      <fill>
        <patternFill>
          <bgColor rgb="FFFFC000"/>
        </patternFill>
      </fill>
    </dxf>
    <dxf>
      <fill>
        <patternFill>
          <bgColor rgb="FFFF0000"/>
        </patternFill>
      </fill>
    </dxf>
    <dxf>
      <fill>
        <patternFill>
          <bgColor theme="0"/>
        </patternFill>
      </fill>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3" formatCode="0%"/>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67" formatCode="dd/mm/yyyy"/>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67" formatCode="dd/mm/yyyy"/>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66" formatCode="_-* #,##0\ _€_-;\-* #,##0\ _€_-;_-* &quot;-&quot;??\ _€_-;_-@_-"/>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67" formatCode="dd/mm/yyyy"/>
      <alignment horizontal="center" vertical="center" textRotation="0" wrapText="1" indent="0" justifyLastLine="0" shrinkToFit="0" readingOrder="0"/>
      <border diagonalUp="0" diagonalDown="0">
        <left style="thin">
          <color theme="2"/>
        </left>
        <right style="thin">
          <color theme="2"/>
        </right>
        <top/>
        <bottom style="thin">
          <color theme="2"/>
        </bottom>
        <vertical/>
        <horizontal/>
      </border>
    </dxf>
    <dxf>
      <font>
        <b val="0"/>
        <i val="0"/>
        <strike val="0"/>
        <condense val="0"/>
        <extend val="0"/>
        <outline val="0"/>
        <shadow val="0"/>
        <u val="none"/>
        <vertAlign val="baseline"/>
        <sz val="10"/>
        <color theme="1" tint="0.14999847407452621"/>
        <name val="Lato"/>
        <family val="2"/>
        <scheme val="none"/>
      </font>
      <numFmt numFmtId="167" formatCode="dd/mm/yyyy"/>
      <alignment horizontal="center" vertical="center" textRotation="0" wrapText="1" indent="0" justifyLastLine="0" shrinkToFit="0" readingOrder="0"/>
      <border diagonalUp="0" diagonalDown="0">
        <left style="thin">
          <color theme="2"/>
        </left>
        <right style="thin">
          <color theme="2"/>
        </right>
        <top/>
        <bottom style="thin">
          <color theme="2"/>
        </bottom>
        <vertical/>
        <horizontal/>
      </border>
    </dxf>
    <dxf>
      <font>
        <b val="0"/>
        <i val="0"/>
        <strike val="0"/>
        <condense val="0"/>
        <extend val="0"/>
        <outline val="0"/>
        <shadow val="0"/>
        <u val="none"/>
        <vertAlign val="baseline"/>
        <sz val="10"/>
        <color theme="1" tint="0.14999847407452621"/>
        <name val="Lato"/>
        <family val="2"/>
        <scheme val="none"/>
      </font>
      <numFmt numFmtId="167"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border outline="0">
        <top style="thin">
          <color theme="4" tint="0.39997558519241921"/>
        </top>
        <bottom style="thin">
          <color theme="2" tint="-9.9978637043366805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dxf>
    <dxf>
      <border>
        <bottom style="thin">
          <color theme="2" tint="-9.9917600024414813E-2"/>
        </bottom>
      </border>
    </dxf>
    <dxf>
      <font>
        <b/>
        <i val="0"/>
        <strike val="0"/>
        <condense val="0"/>
        <extend val="0"/>
        <outline val="0"/>
        <shadow val="0"/>
        <u val="none"/>
        <vertAlign val="baseline"/>
        <sz val="11"/>
        <color theme="1" tint="0.34998626667073579"/>
        <name val="Lato"/>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bottom/>
      </border>
    </dxf>
    <dxf>
      <fill>
        <patternFill patternType="solid">
          <fgColor theme="9" tint="0.39991454817346722"/>
          <bgColor theme="9" tint="0.39994506668294322"/>
        </patternFill>
      </fill>
    </dxf>
    <dxf>
      <fill>
        <patternFill>
          <bgColor theme="7" tint="0.39994506668294322"/>
        </patternFill>
      </fill>
    </dxf>
    <dxf>
      <fill>
        <patternFill>
          <bgColor rgb="FFFF0000"/>
        </patternFill>
      </fill>
    </dxf>
    <dxf>
      <font>
        <color theme="0"/>
      </font>
      <fill>
        <patternFill>
          <bgColor theme="1" tint="4.9989318521683403E-2"/>
        </patternFill>
      </fill>
    </dxf>
    <dxf>
      <font>
        <color rgb="FFFFFFFF"/>
      </font>
      <fill>
        <patternFill>
          <bgColor theme="1"/>
        </patternFill>
      </fill>
    </dxf>
    <dxf>
      <fill>
        <patternFill>
          <bgColor theme="9" tint="0.39994506668294322"/>
        </patternFill>
      </fill>
    </dxf>
    <dxf>
      <fill>
        <patternFill>
          <bgColor theme="5" tint="0.39994506668294322"/>
        </patternFill>
      </fill>
    </dxf>
    <dxf>
      <fill>
        <patternFill>
          <bgColor rgb="FFFF0000"/>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439DF20F-508F-4FE9-A657-A0732235FE34}">
      <tableStyleElement type="wholeTable" dxfId="77"/>
      <tableStyleElement type="headerRow" dxfId="76"/>
    </tableStyle>
  </tableStyles>
  <colors>
    <mruColors>
      <color rgb="FFF04A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Risk - Project XXX</a:t>
            </a:r>
          </a:p>
        </c:rich>
      </c:tx>
      <c:layout>
        <c:manualLayout>
          <c:xMode val="edge"/>
          <c:yMode val="edge"/>
          <c:x val="0.3324100743883715"/>
          <c:y val="3.1941031941031942E-2"/>
        </c:manualLayout>
      </c:layout>
      <c:overlay val="0"/>
      <c:spPr>
        <a:noFill/>
        <a:ln w="25400">
          <a:noFill/>
        </a:ln>
      </c:spPr>
    </c:title>
    <c:autoTitleDeleted val="0"/>
    <c:plotArea>
      <c:layout>
        <c:manualLayout>
          <c:layoutTarget val="inner"/>
          <c:xMode val="edge"/>
          <c:yMode val="edge"/>
          <c:x val="0.11495844875346255"/>
          <c:y val="0.1793611793611794"/>
          <c:w val="0.75890226156963569"/>
          <c:h val="0.62407862407862702"/>
        </c:manualLayout>
      </c:layout>
      <c:barChart>
        <c:barDir val="col"/>
        <c:grouping val="stacked"/>
        <c:varyColors val="0"/>
        <c:ser>
          <c:idx val="1"/>
          <c:order val="0"/>
          <c:tx>
            <c:strRef>
              <c:f>'Produit rapport'!$E$4</c:f>
              <c:strCache>
                <c:ptCount val="1"/>
                <c:pt idx="0">
                  <c:v>Very High</c:v>
                </c:pt>
              </c:strCache>
            </c:strRef>
          </c:tx>
          <c:spPr>
            <a:solidFill>
              <a:srgbClr val="FF0000"/>
            </a:solidFill>
            <a:ln w="12700">
              <a:solidFill>
                <a:srgbClr val="000000"/>
              </a:solidFill>
              <a:prstDash val="solid"/>
            </a:ln>
          </c:spPr>
          <c:invertIfNegative val="0"/>
          <c:cat>
            <c:strRef>
              <c:f>'Produit rapport'!$F$3:$L$3</c:f>
              <c:strCache>
                <c:ptCount val="1"/>
                <c:pt idx="0">
                  <c:v>Example KOM</c:v>
                </c:pt>
              </c:strCache>
            </c:strRef>
          </c:cat>
          <c:val>
            <c:numRef>
              <c:f>'Produit rapport'!$F$4:$L$4</c:f>
              <c:numCache>
                <c:formatCode>General</c:formatCode>
                <c:ptCount val="7"/>
                <c:pt idx="0">
                  <c:v>0</c:v>
                </c:pt>
              </c:numCache>
            </c:numRef>
          </c:val>
          <c:extLst>
            <c:ext xmlns:c16="http://schemas.microsoft.com/office/drawing/2014/chart" uri="{C3380CC4-5D6E-409C-BE32-E72D297353CC}">
              <c16:uniqueId val="{00000000-4FE1-4B3E-8EA1-A861A8737F5C}"/>
            </c:ext>
          </c:extLst>
        </c:ser>
        <c:ser>
          <c:idx val="2"/>
          <c:order val="1"/>
          <c:tx>
            <c:strRef>
              <c:f>'Produit rapport'!$E$5</c:f>
              <c:strCache>
                <c:ptCount val="1"/>
                <c:pt idx="0">
                  <c:v>High</c:v>
                </c:pt>
              </c:strCache>
            </c:strRef>
          </c:tx>
          <c:spPr>
            <a:solidFill>
              <a:srgbClr val="FF9900"/>
            </a:solidFill>
            <a:ln w="12700">
              <a:solidFill>
                <a:srgbClr val="000000"/>
              </a:solidFill>
              <a:prstDash val="solid"/>
            </a:ln>
          </c:spPr>
          <c:invertIfNegative val="0"/>
          <c:cat>
            <c:strRef>
              <c:f>'Produit rapport'!$F$3:$L$3</c:f>
              <c:strCache>
                <c:ptCount val="1"/>
                <c:pt idx="0">
                  <c:v>Example KOM</c:v>
                </c:pt>
              </c:strCache>
            </c:strRef>
          </c:cat>
          <c:val>
            <c:numRef>
              <c:f>'Produit rapport'!$F$5:$L$5</c:f>
              <c:numCache>
                <c:formatCode>General</c:formatCode>
                <c:ptCount val="7"/>
                <c:pt idx="0">
                  <c:v>1</c:v>
                </c:pt>
              </c:numCache>
            </c:numRef>
          </c:val>
          <c:extLst>
            <c:ext xmlns:c16="http://schemas.microsoft.com/office/drawing/2014/chart" uri="{C3380CC4-5D6E-409C-BE32-E72D297353CC}">
              <c16:uniqueId val="{00000001-4FE1-4B3E-8EA1-A861A8737F5C}"/>
            </c:ext>
          </c:extLst>
        </c:ser>
        <c:ser>
          <c:idx val="3"/>
          <c:order val="2"/>
          <c:tx>
            <c:strRef>
              <c:f>'Produit rapport'!$E$6</c:f>
              <c:strCache>
                <c:ptCount val="1"/>
                <c:pt idx="0">
                  <c:v>Medium</c:v>
                </c:pt>
              </c:strCache>
            </c:strRef>
          </c:tx>
          <c:spPr>
            <a:solidFill>
              <a:srgbClr val="FFFF00"/>
            </a:solidFill>
            <a:ln w="12700">
              <a:solidFill>
                <a:srgbClr val="000000"/>
              </a:solidFill>
              <a:prstDash val="solid"/>
            </a:ln>
          </c:spPr>
          <c:invertIfNegative val="0"/>
          <c:cat>
            <c:strRef>
              <c:f>'Produit rapport'!$F$3:$L$3</c:f>
              <c:strCache>
                <c:ptCount val="1"/>
                <c:pt idx="0">
                  <c:v>Example KOM</c:v>
                </c:pt>
              </c:strCache>
            </c:strRef>
          </c:cat>
          <c:val>
            <c:numRef>
              <c:f>'Produit rapport'!$F$6:$L$6</c:f>
              <c:numCache>
                <c:formatCode>General</c:formatCode>
                <c:ptCount val="7"/>
                <c:pt idx="0">
                  <c:v>1</c:v>
                </c:pt>
              </c:numCache>
            </c:numRef>
          </c:val>
          <c:extLst>
            <c:ext xmlns:c16="http://schemas.microsoft.com/office/drawing/2014/chart" uri="{C3380CC4-5D6E-409C-BE32-E72D297353CC}">
              <c16:uniqueId val="{00000002-4FE1-4B3E-8EA1-A861A8737F5C}"/>
            </c:ext>
          </c:extLst>
        </c:ser>
        <c:ser>
          <c:idx val="4"/>
          <c:order val="3"/>
          <c:tx>
            <c:strRef>
              <c:f>'Produit rapport'!$E$7</c:f>
              <c:strCache>
                <c:ptCount val="1"/>
                <c:pt idx="0">
                  <c:v>Low</c:v>
                </c:pt>
              </c:strCache>
            </c:strRef>
          </c:tx>
          <c:spPr>
            <a:solidFill>
              <a:srgbClr val="00FF00"/>
            </a:solidFill>
            <a:ln w="12700">
              <a:solidFill>
                <a:srgbClr val="000000"/>
              </a:solidFill>
              <a:prstDash val="solid"/>
            </a:ln>
          </c:spPr>
          <c:invertIfNegative val="0"/>
          <c:cat>
            <c:strRef>
              <c:f>'Produit rapport'!$F$3:$L$3</c:f>
              <c:strCache>
                <c:ptCount val="1"/>
                <c:pt idx="0">
                  <c:v>Example KOM</c:v>
                </c:pt>
              </c:strCache>
            </c:strRef>
          </c:cat>
          <c:val>
            <c:numRef>
              <c:f>'Produit rapport'!$F$7:$L$7</c:f>
              <c:numCache>
                <c:formatCode>General</c:formatCode>
                <c:ptCount val="7"/>
                <c:pt idx="0">
                  <c:v>2</c:v>
                </c:pt>
              </c:numCache>
            </c:numRef>
          </c:val>
          <c:extLst>
            <c:ext xmlns:c16="http://schemas.microsoft.com/office/drawing/2014/chart" uri="{C3380CC4-5D6E-409C-BE32-E72D297353CC}">
              <c16:uniqueId val="{00000003-4FE1-4B3E-8EA1-A861A8737F5C}"/>
            </c:ext>
          </c:extLst>
        </c:ser>
        <c:dLbls>
          <c:showLegendKey val="0"/>
          <c:showVal val="0"/>
          <c:showCatName val="0"/>
          <c:showSerName val="0"/>
          <c:showPercent val="0"/>
          <c:showBubbleSize val="0"/>
        </c:dLbls>
        <c:gapWidth val="150"/>
        <c:overlap val="100"/>
        <c:axId val="124361344"/>
        <c:axId val="124371712"/>
      </c:barChart>
      <c:catAx>
        <c:axId val="124361344"/>
        <c:scaling>
          <c:orientation val="minMax"/>
        </c:scaling>
        <c:delete val="0"/>
        <c:axPos val="b"/>
        <c:title>
          <c:tx>
            <c:rich>
              <a:bodyPr/>
              <a:lstStyle/>
              <a:p>
                <a:pPr>
                  <a:defRPr sz="1175" b="1" i="0" u="none" strike="noStrike" baseline="0">
                    <a:solidFill>
                      <a:srgbClr val="000000"/>
                    </a:solidFill>
                    <a:latin typeface="Arial"/>
                    <a:ea typeface="Arial"/>
                    <a:cs typeface="Arial"/>
                  </a:defRPr>
                </a:pPr>
                <a:r>
                  <a:rPr lang="fr-FR"/>
                  <a:t>Steps</a:t>
                </a:r>
              </a:p>
            </c:rich>
          </c:tx>
          <c:layout>
            <c:manualLayout>
              <c:xMode val="edge"/>
              <c:yMode val="edge"/>
              <c:x val="0.42797791467776491"/>
              <c:y val="0.8918918918918935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24371712"/>
        <c:crosses val="autoZero"/>
        <c:auto val="0"/>
        <c:lblAlgn val="ctr"/>
        <c:lblOffset val="100"/>
        <c:tickLblSkip val="1"/>
        <c:tickMarkSkip val="1"/>
        <c:noMultiLvlLbl val="0"/>
      </c:catAx>
      <c:valAx>
        <c:axId val="124371712"/>
        <c:scaling>
          <c:orientation val="minMax"/>
          <c:max val="26"/>
          <c:min val="0"/>
        </c:scaling>
        <c:delete val="0"/>
        <c:axPos val="l"/>
        <c:majorGridlines>
          <c:spPr>
            <a:ln w="3175">
              <a:solidFill>
                <a:srgbClr val="000000"/>
              </a:solidFill>
              <a:prstDash val="solid"/>
            </a:ln>
          </c:spPr>
        </c:majorGridlines>
        <c:title>
          <c:tx>
            <c:rich>
              <a:bodyPr/>
              <a:lstStyle/>
              <a:p>
                <a:pPr>
                  <a:defRPr sz="1175" b="1" i="0" u="none" strike="noStrike" baseline="0">
                    <a:solidFill>
                      <a:srgbClr val="000000"/>
                    </a:solidFill>
                    <a:latin typeface="Arial"/>
                    <a:ea typeface="Arial"/>
                    <a:cs typeface="Arial"/>
                  </a:defRPr>
                </a:pPr>
                <a:r>
                  <a:rPr lang="fr-FR"/>
                  <a:t>Nb Risks</a:t>
                </a:r>
              </a:p>
            </c:rich>
          </c:tx>
          <c:layout>
            <c:manualLayout>
              <c:xMode val="edge"/>
              <c:yMode val="edge"/>
              <c:x val="6.9251900507255274E-3"/>
              <c:y val="0.3832923832923843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24361344"/>
        <c:crosses val="autoZero"/>
        <c:crossBetween val="between"/>
        <c:majorUnit val="2"/>
      </c:valAx>
      <c:spPr>
        <a:solidFill>
          <a:srgbClr val="FFFFFF"/>
        </a:solidFill>
        <a:ln w="12700">
          <a:solidFill>
            <a:srgbClr val="808080"/>
          </a:solidFill>
          <a:prstDash val="solid"/>
        </a:ln>
      </c:spPr>
    </c:plotArea>
    <c:legend>
      <c:legendPos val="r"/>
      <c:layout>
        <c:manualLayout>
          <c:xMode val="edge"/>
          <c:yMode val="edge"/>
          <c:x val="0.87835801612881514"/>
          <c:y val="0.34398034398034494"/>
          <c:w val="0.10710742115784751"/>
          <c:h val="0.29729729729729731"/>
        </c:manualLayout>
      </c:layout>
      <c:overlay val="0"/>
      <c:spPr>
        <a:solidFill>
          <a:srgbClr val="FFFFFF"/>
        </a:solidFill>
        <a:ln w="3175">
          <a:solidFill>
            <a:srgbClr val="000000"/>
          </a:solidFill>
          <a:prstDash val="solid"/>
        </a:ln>
      </c:spPr>
      <c:txPr>
        <a:bodyPr/>
        <a:lstStyle/>
        <a:p>
          <a:pPr>
            <a:defRPr sz="91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12700">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122" footer="0.49212598450000122"/>
    <c:pageSetup/>
  </c:printSettings>
</c:chartSpace>
</file>

<file path=xl/diagrams/colors1.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4CBDE18-9E2C-4AB0-B5FB-93446F83747E}" type="doc">
      <dgm:prSet loTypeId="urn:microsoft.com/office/officeart/2005/8/layout/target1" loCatId="relationship" qsTypeId="urn:microsoft.com/office/officeart/2005/8/quickstyle/simple1" qsCatId="simple" csTypeId="urn:microsoft.com/office/officeart/2005/8/colors/accent2_5" csCatId="accent2" phldr="1"/>
      <dgm:spPr/>
    </dgm:pt>
    <dgm:pt modelId="{FB3FDD61-D1DB-4F94-9B72-C59EE30327C4}">
      <dgm:prSet phldrT="[Texte]" custT="1"/>
      <dgm:spPr>
        <a:xfrm>
          <a:off x="2939482" y="32292"/>
          <a:ext cx="1382354"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0 à 2 salariés</a:t>
          </a:r>
        </a:p>
      </dgm:t>
    </dgm:pt>
    <dgm:pt modelId="{362633C7-9962-46B9-9AC8-A3D2E5B34CD9}" type="parTrans" cxnId="{7CB77627-BA67-49DE-96F1-6CAC2C623AC1}">
      <dgm:prSet/>
      <dgm:spPr/>
      <dgm:t>
        <a:bodyPr/>
        <a:lstStyle/>
        <a:p>
          <a:endParaRPr lang="fr-FR" sz="1400">
            <a:solidFill>
              <a:schemeClr val="tx1"/>
            </a:solidFill>
          </a:endParaRPr>
        </a:p>
      </dgm:t>
    </dgm:pt>
    <dgm:pt modelId="{6C39F424-4E73-435A-AE12-36CB20CE2167}" type="sibTrans" cxnId="{7CB77627-BA67-49DE-96F1-6CAC2C623AC1}">
      <dgm:prSet/>
      <dgm:spPr/>
      <dgm:t>
        <a:bodyPr/>
        <a:lstStyle/>
        <a:p>
          <a:endParaRPr lang="fr-FR" sz="1400">
            <a:solidFill>
              <a:schemeClr val="tx1"/>
            </a:solidFill>
          </a:endParaRPr>
        </a:p>
      </dgm:t>
    </dgm:pt>
    <dgm:pt modelId="{41DD617D-D2E1-4158-B744-8FA33513239B}">
      <dgm:prSet phldrT="[Texte]" custT="1"/>
      <dgm:spPr>
        <a:xfrm>
          <a:off x="2934551" y="434541"/>
          <a:ext cx="1779167"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3 à 9 salariés</a:t>
          </a:r>
        </a:p>
      </dgm:t>
    </dgm:pt>
    <dgm:pt modelId="{4825A2F9-5EA6-4F1D-BFAB-C797EB576E38}" type="parTrans" cxnId="{7B156808-A841-4B63-9A49-6AA8DA467314}">
      <dgm:prSet/>
      <dgm:spPr/>
      <dgm:t>
        <a:bodyPr/>
        <a:lstStyle/>
        <a:p>
          <a:endParaRPr lang="fr-FR" sz="1400">
            <a:solidFill>
              <a:schemeClr val="tx1"/>
            </a:solidFill>
          </a:endParaRPr>
        </a:p>
      </dgm:t>
    </dgm:pt>
    <dgm:pt modelId="{DD0428A2-762C-477B-AE23-9DFB3EBFDE66}" type="sibTrans" cxnId="{7B156808-A841-4B63-9A49-6AA8DA467314}">
      <dgm:prSet/>
      <dgm:spPr/>
      <dgm:t>
        <a:bodyPr/>
        <a:lstStyle/>
        <a:p>
          <a:endParaRPr lang="fr-FR" sz="1400">
            <a:solidFill>
              <a:schemeClr val="tx1"/>
            </a:solidFill>
          </a:endParaRPr>
        </a:p>
      </dgm:t>
    </dgm:pt>
    <dgm:pt modelId="{4578D2D1-30FF-4663-BF27-6F2FC0DCC87C}">
      <dgm:prSet phldrT="[Texte]" custT="1"/>
      <dgm:spPr>
        <a:xfrm>
          <a:off x="2901748" y="888746"/>
          <a:ext cx="2270295"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10 à 24 salariés</a:t>
          </a:r>
        </a:p>
      </dgm:t>
    </dgm:pt>
    <dgm:pt modelId="{5FCD08E8-1FC0-4CA9-9CFC-B1D796EF9E60}" type="parTrans" cxnId="{C02A8107-4DAF-41F3-9FF2-0F978193D786}">
      <dgm:prSet/>
      <dgm:spPr/>
      <dgm:t>
        <a:bodyPr/>
        <a:lstStyle/>
        <a:p>
          <a:endParaRPr lang="fr-FR" sz="1400">
            <a:solidFill>
              <a:schemeClr val="tx1"/>
            </a:solidFill>
          </a:endParaRPr>
        </a:p>
      </dgm:t>
    </dgm:pt>
    <dgm:pt modelId="{FB64D2F5-C728-4064-81AE-BD880A464BCF}" type="sibTrans" cxnId="{C02A8107-4DAF-41F3-9FF2-0F978193D786}">
      <dgm:prSet/>
      <dgm:spPr/>
      <dgm:t>
        <a:bodyPr/>
        <a:lstStyle/>
        <a:p>
          <a:endParaRPr lang="fr-FR" sz="1400">
            <a:solidFill>
              <a:schemeClr val="tx1"/>
            </a:solidFill>
          </a:endParaRPr>
        </a:p>
      </dgm:t>
    </dgm:pt>
    <dgm:pt modelId="{77E3C4DA-99CD-4BD3-ABDC-1BFDD71B28FC}">
      <dgm:prSet phldrT="[Texte]" custT="1"/>
      <dgm:spPr>
        <a:xfrm>
          <a:off x="2928261" y="1335371"/>
          <a:ext cx="2057422"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25</a:t>
          </a:r>
          <a:r>
            <a:rPr lang="fr-FR" sz="900" baseline="0" dirty="0">
              <a:solidFill>
                <a:srgbClr val="000000"/>
              </a:solidFill>
              <a:latin typeface="Lato" panose="020F0502020204030203" pitchFamily="34" charset="0"/>
              <a:ea typeface="Lato" panose="020F0502020204030203" pitchFamily="34" charset="0"/>
              <a:cs typeface="Lato" panose="020F0502020204030203" pitchFamily="34" charset="0"/>
            </a:rPr>
            <a:t> salariés et +</a:t>
          </a:r>
          <a:endParaRPr lang="fr-FR" sz="900" dirty="0">
            <a:solidFill>
              <a:srgbClr val="000000"/>
            </a:solidFill>
            <a:latin typeface="Lato" panose="020F0502020204030203" pitchFamily="34" charset="0"/>
            <a:ea typeface="Lato" panose="020F0502020204030203" pitchFamily="34" charset="0"/>
            <a:cs typeface="Lato" panose="020F0502020204030203" pitchFamily="34" charset="0"/>
          </a:endParaRPr>
        </a:p>
      </dgm:t>
    </dgm:pt>
    <dgm:pt modelId="{0C34E422-292B-4130-89F1-5C7086DCC1DA}" type="parTrans" cxnId="{DD3C1804-A112-4F47-B021-838B2E0FF273}">
      <dgm:prSet/>
      <dgm:spPr/>
      <dgm:t>
        <a:bodyPr/>
        <a:lstStyle/>
        <a:p>
          <a:endParaRPr lang="fr-FR" sz="1400">
            <a:solidFill>
              <a:schemeClr val="tx1"/>
            </a:solidFill>
          </a:endParaRPr>
        </a:p>
      </dgm:t>
    </dgm:pt>
    <dgm:pt modelId="{95CA61E7-55CB-4F1F-9337-1C07466E92D1}" type="sibTrans" cxnId="{DD3C1804-A112-4F47-B021-838B2E0FF273}">
      <dgm:prSet/>
      <dgm:spPr/>
      <dgm:t>
        <a:bodyPr/>
        <a:lstStyle/>
        <a:p>
          <a:endParaRPr lang="fr-FR" sz="1400">
            <a:solidFill>
              <a:schemeClr val="tx1"/>
            </a:solidFill>
          </a:endParaRPr>
        </a:p>
      </dgm:t>
    </dgm:pt>
    <dgm:pt modelId="{840A6CF0-67E4-43A5-A5B8-477E41E141B7}" type="pres">
      <dgm:prSet presAssocID="{74CBDE18-9E2C-4AB0-B5FB-93446F83747E}" presName="composite" presStyleCnt="0">
        <dgm:presLayoutVars>
          <dgm:chMax val="5"/>
          <dgm:dir/>
          <dgm:resizeHandles val="exact"/>
        </dgm:presLayoutVars>
      </dgm:prSet>
      <dgm:spPr/>
    </dgm:pt>
    <dgm:pt modelId="{1924D764-2BDF-409E-9D19-764A7B2488F2}" type="pres">
      <dgm:prSet presAssocID="{FB3FDD61-D1DB-4F94-9B72-C59EE30327C4}" presName="circle1" presStyleLbl="lnNode1" presStyleIdx="0" presStyleCnt="4"/>
      <dgm:spPr>
        <a:xfrm>
          <a:off x="1543579" y="1423103"/>
          <a:ext cx="266783" cy="266783"/>
        </a:xfrm>
        <a:prstGeom prst="ellipse">
          <a:avLst/>
        </a:prstGeom>
        <a:solidFill>
          <a:srgbClr val="92D050"/>
        </a:solidFill>
        <a:ln w="12700" cap="flat" cmpd="sng" algn="ctr">
          <a:solidFill>
            <a:srgbClr val="FFFFFF">
              <a:hueOff val="0"/>
              <a:satOff val="0"/>
              <a:lumOff val="0"/>
              <a:alphaOff val="0"/>
            </a:srgbClr>
          </a:solidFill>
          <a:prstDash val="solid"/>
          <a:miter lim="800000"/>
        </a:ln>
        <a:effectLst/>
      </dgm:spPr>
    </dgm:pt>
    <dgm:pt modelId="{70E639F3-4081-4ED4-9799-D8B1FF4BFDB3}" type="pres">
      <dgm:prSet presAssocID="{FB3FDD61-D1DB-4F94-9B72-C59EE30327C4}" presName="text1" presStyleLbl="revTx" presStyleIdx="0" presStyleCnt="4" custScaleX="226019" custScaleY="82303" custLinFactNeighborX="86866" custLinFactNeighborY="3586">
        <dgm:presLayoutVars>
          <dgm:bulletEnabled val="1"/>
        </dgm:presLayoutVars>
      </dgm:prSet>
      <dgm:spPr/>
    </dgm:pt>
    <dgm:pt modelId="{0C3904E1-F22C-4E8E-8703-969700771F1F}" type="pres">
      <dgm:prSet presAssocID="{FB3FDD61-D1DB-4F94-9B72-C59EE30327C4}" presName="line1" presStyleLbl="callout" presStyleIdx="0" presStyleCnt="8"/>
      <dgm:spPr>
        <a:xfrm>
          <a:off x="2688693" y="223357"/>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142077FA-D5C1-4738-B24D-A76B21F419BB}" type="pres">
      <dgm:prSet presAssocID="{FB3FDD61-D1DB-4F94-9B72-C59EE30327C4}" presName="d1" presStyleLbl="callout" presStyleIdx="1" presStyleCnt="8"/>
      <dgm:spPr>
        <a:xfrm rot="5400000">
          <a:off x="1515095" y="370445"/>
          <a:ext cx="1319908" cy="1027287"/>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95E713C8-9027-4A1D-B42D-F6F0F4BE1915}" type="pres">
      <dgm:prSet presAssocID="{41DD617D-D2E1-4158-B744-8FA33513239B}" presName="circle2" presStyleLbl="lnNode1" presStyleIdx="1" presStyleCnt="4"/>
      <dgm:spPr>
        <a:xfrm>
          <a:off x="1276796" y="1156320"/>
          <a:ext cx="800350" cy="800350"/>
        </a:xfrm>
        <a:prstGeom prst="ellipse">
          <a:avLst/>
        </a:prstGeom>
        <a:solidFill>
          <a:srgbClr val="FFC000"/>
        </a:solidFill>
        <a:ln w="12700" cap="flat" cmpd="sng" algn="ctr">
          <a:solidFill>
            <a:srgbClr val="FFFFFF">
              <a:hueOff val="0"/>
              <a:satOff val="0"/>
              <a:lumOff val="0"/>
              <a:alphaOff val="0"/>
            </a:srgbClr>
          </a:solidFill>
          <a:prstDash val="solid"/>
          <a:miter lim="800000"/>
        </a:ln>
        <a:effectLst/>
      </dgm:spPr>
    </dgm:pt>
    <dgm:pt modelId="{A03EF8B9-95F7-498F-954A-92EAFAAB4E18}" type="pres">
      <dgm:prSet presAssocID="{41DD617D-D2E1-4158-B744-8FA33513239B}" presName="text2" presStyleLbl="revTx" presStyleIdx="1" presStyleCnt="4" custScaleX="216169" custScaleY="39503" custLinFactNeighborX="85274" custLinFactNeighborY="-2725">
        <dgm:presLayoutVars>
          <dgm:bulletEnabled val="1"/>
        </dgm:presLayoutVars>
      </dgm:prSet>
      <dgm:spPr/>
    </dgm:pt>
    <dgm:pt modelId="{20449E2A-025B-4C6B-885A-E92E673E3751}" type="pres">
      <dgm:prSet presAssocID="{41DD617D-D2E1-4158-B744-8FA33513239B}" presName="line2" presStyleLbl="callout" presStyleIdx="2" presStyleCnt="8"/>
      <dgm:spPr>
        <a:xfrm>
          <a:off x="2688693" y="670071"/>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1C4DFA75-0810-4DE1-960F-134D5AF468DA}" type="pres">
      <dgm:prSet presAssocID="{41DD617D-D2E1-4158-B744-8FA33513239B}" presName="d2" presStyleLbl="callout" presStyleIdx="3" presStyleCnt="8"/>
      <dgm:spPr>
        <a:xfrm rot="5400000">
          <a:off x="1743589" y="809844"/>
          <a:ext cx="1083943" cy="804708"/>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A8BFBE67-4C06-446F-A70A-25A24A85994C}" type="pres">
      <dgm:prSet presAssocID="{4578D2D1-30FF-4663-BF27-6F2FC0DCC87C}" presName="circle3" presStyleLbl="lnNode1" presStyleIdx="2" presStyleCnt="4"/>
      <dgm:spPr>
        <a:xfrm>
          <a:off x="1010012" y="889537"/>
          <a:ext cx="1333916" cy="1333916"/>
        </a:xfrm>
        <a:prstGeom prst="ellipse">
          <a:avLst/>
        </a:prstGeom>
        <a:solidFill>
          <a:srgbClr val="FF0000"/>
        </a:solidFill>
        <a:ln w="12700" cap="flat" cmpd="sng" algn="ctr">
          <a:solidFill>
            <a:srgbClr val="FFFFFF">
              <a:hueOff val="0"/>
              <a:satOff val="0"/>
              <a:lumOff val="0"/>
              <a:alphaOff val="0"/>
            </a:srgbClr>
          </a:solidFill>
          <a:prstDash val="solid"/>
          <a:miter lim="800000"/>
        </a:ln>
        <a:effectLst/>
      </dgm:spPr>
    </dgm:pt>
    <dgm:pt modelId="{376A7252-E8C0-42DC-8286-4ABD3024FE51}" type="pres">
      <dgm:prSet presAssocID="{4578D2D1-30FF-4663-BF27-6F2FC0DCC87C}" presName="text3" presStyleLbl="revTx" presStyleIdx="2" presStyleCnt="4" custScaleX="231124" custScaleY="100248" custLinFactNeighborX="91286" custLinFactNeighborY="-3680">
        <dgm:presLayoutVars>
          <dgm:bulletEnabled val="1"/>
        </dgm:presLayoutVars>
      </dgm:prSet>
      <dgm:spPr/>
    </dgm:pt>
    <dgm:pt modelId="{0B3FE0B3-EF2A-4E25-BA5E-1EA40B10B14F}" type="pres">
      <dgm:prSet presAssocID="{4578D2D1-30FF-4663-BF27-6F2FC0DCC87C}" presName="line3" presStyleLbl="callout" presStyleIdx="4" presStyleCnt="8"/>
      <dgm:spPr>
        <a:xfrm>
          <a:off x="2688693" y="1116785"/>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9B7E854B-0DEE-4627-B2AF-D31CE9C06105}" type="pres">
      <dgm:prSet presAssocID="{4578D2D1-30FF-4663-BF27-6F2FC0DCC87C}" presName="d3" presStyleLbl="callout" presStyleIdx="5" presStyleCnt="8"/>
      <dgm:spPr>
        <a:xfrm rot="5400000">
          <a:off x="1964767" y="1219358"/>
          <a:ext cx="826810" cy="621041"/>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0FF0D1B7-CF89-45A2-942A-3C0A01901422}" type="pres">
      <dgm:prSet presAssocID="{77E3C4DA-99CD-4BD3-ABDC-1BFDD71B28FC}" presName="circle4" presStyleLbl="lnNode1" presStyleIdx="3" presStyleCnt="4" custLinFactNeighborX="1086" custLinFactNeighborY="1770"/>
      <dgm:spPr>
        <a:xfrm>
          <a:off x="763358" y="622598"/>
          <a:ext cx="1867794" cy="1867794"/>
        </a:xfrm>
        <a:prstGeom prst="ellipse">
          <a:avLst/>
        </a:prstGeom>
        <a:solidFill>
          <a:srgbClr val="000000"/>
        </a:solidFill>
        <a:ln w="12700" cap="flat" cmpd="sng" algn="ctr">
          <a:solidFill>
            <a:srgbClr val="FFFFFF">
              <a:hueOff val="0"/>
              <a:satOff val="0"/>
              <a:lumOff val="0"/>
              <a:alphaOff val="0"/>
            </a:srgbClr>
          </a:solidFill>
          <a:prstDash val="solid"/>
          <a:miter lim="800000"/>
        </a:ln>
        <a:effectLst/>
      </dgm:spPr>
    </dgm:pt>
    <dgm:pt modelId="{DBAD964A-4A59-4611-9897-38D8F44C73FF}" type="pres">
      <dgm:prSet presAssocID="{77E3C4DA-99CD-4BD3-ABDC-1BFDD71B28FC}" presName="text4" presStyleLbl="revTx" presStyleIdx="3" presStyleCnt="4" custScaleX="251208" custScaleY="125100" custLinFactX="5252" custLinFactNeighborX="100000" custLinFactNeighborY="-5493">
        <dgm:presLayoutVars>
          <dgm:bulletEnabled val="1"/>
        </dgm:presLayoutVars>
      </dgm:prSet>
      <dgm:spPr/>
    </dgm:pt>
    <dgm:pt modelId="{B78AF44F-B2CF-4F9C-A9FE-9C65EE4185B4}" type="pres">
      <dgm:prSet presAssocID="{77E3C4DA-99CD-4BD3-ABDC-1BFDD71B28FC}" presName="line4" presStyleLbl="callout" presStyleIdx="6" presStyleCnt="8"/>
      <dgm:spPr>
        <a:xfrm>
          <a:off x="2688693" y="1563499"/>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3225F042-850A-4C33-9BC6-7278DEA26CD4}" type="pres">
      <dgm:prSet presAssocID="{77E3C4DA-99CD-4BD3-ABDC-1BFDD71B28FC}" presName="d4" presStyleLbl="callout" presStyleIdx="7" presStyleCnt="8"/>
      <dgm:spPr>
        <a:xfrm rot="5400000">
          <a:off x="2186474" y="1630491"/>
          <a:ext cx="568307" cy="43395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Lst>
  <dgm:cxnLst>
    <dgm:cxn modelId="{DD3C1804-A112-4F47-B021-838B2E0FF273}" srcId="{74CBDE18-9E2C-4AB0-B5FB-93446F83747E}" destId="{77E3C4DA-99CD-4BD3-ABDC-1BFDD71B28FC}" srcOrd="3" destOrd="0" parTransId="{0C34E422-292B-4130-89F1-5C7086DCC1DA}" sibTransId="{95CA61E7-55CB-4F1F-9337-1C07466E92D1}"/>
    <dgm:cxn modelId="{C02A8107-4DAF-41F3-9FF2-0F978193D786}" srcId="{74CBDE18-9E2C-4AB0-B5FB-93446F83747E}" destId="{4578D2D1-30FF-4663-BF27-6F2FC0DCC87C}" srcOrd="2" destOrd="0" parTransId="{5FCD08E8-1FC0-4CA9-9CFC-B1D796EF9E60}" sibTransId="{FB64D2F5-C728-4064-81AE-BD880A464BCF}"/>
    <dgm:cxn modelId="{7B156808-A841-4B63-9A49-6AA8DA467314}" srcId="{74CBDE18-9E2C-4AB0-B5FB-93446F83747E}" destId="{41DD617D-D2E1-4158-B744-8FA33513239B}" srcOrd="1" destOrd="0" parTransId="{4825A2F9-5EA6-4F1D-BFAB-C797EB576E38}" sibTransId="{DD0428A2-762C-477B-AE23-9DFB3EBFDE66}"/>
    <dgm:cxn modelId="{EA946311-99D5-4C1E-A43B-69C63FFD8094}" type="presOf" srcId="{4578D2D1-30FF-4663-BF27-6F2FC0DCC87C}" destId="{376A7252-E8C0-42DC-8286-4ABD3024FE51}" srcOrd="0" destOrd="0" presId="urn:microsoft.com/office/officeart/2005/8/layout/target1"/>
    <dgm:cxn modelId="{5CEF1321-E199-4350-A19F-C5CBA7A52ABF}" type="presOf" srcId="{74CBDE18-9E2C-4AB0-B5FB-93446F83747E}" destId="{840A6CF0-67E4-43A5-A5B8-477E41E141B7}" srcOrd="0" destOrd="0" presId="urn:microsoft.com/office/officeart/2005/8/layout/target1"/>
    <dgm:cxn modelId="{CB8EC525-418C-46C2-92B5-E04AD4D70553}" type="presOf" srcId="{41DD617D-D2E1-4158-B744-8FA33513239B}" destId="{A03EF8B9-95F7-498F-954A-92EAFAAB4E18}" srcOrd="0" destOrd="0" presId="urn:microsoft.com/office/officeart/2005/8/layout/target1"/>
    <dgm:cxn modelId="{7CB77627-BA67-49DE-96F1-6CAC2C623AC1}" srcId="{74CBDE18-9E2C-4AB0-B5FB-93446F83747E}" destId="{FB3FDD61-D1DB-4F94-9B72-C59EE30327C4}" srcOrd="0" destOrd="0" parTransId="{362633C7-9962-46B9-9AC8-A3D2E5B34CD9}" sibTransId="{6C39F424-4E73-435A-AE12-36CB20CE2167}"/>
    <dgm:cxn modelId="{0A149331-CCC5-4BCC-B6DE-746767EE0EBC}" type="presOf" srcId="{77E3C4DA-99CD-4BD3-ABDC-1BFDD71B28FC}" destId="{DBAD964A-4A59-4611-9897-38D8F44C73FF}" srcOrd="0" destOrd="0" presId="urn:microsoft.com/office/officeart/2005/8/layout/target1"/>
    <dgm:cxn modelId="{73586047-FC8A-4E3E-AEF9-2774DE12A7EE}" type="presOf" srcId="{FB3FDD61-D1DB-4F94-9B72-C59EE30327C4}" destId="{70E639F3-4081-4ED4-9799-D8B1FF4BFDB3}" srcOrd="0" destOrd="0" presId="urn:microsoft.com/office/officeart/2005/8/layout/target1"/>
    <dgm:cxn modelId="{1028124E-B35D-4E34-8806-E4F85A76B9DD}" type="presParOf" srcId="{840A6CF0-67E4-43A5-A5B8-477E41E141B7}" destId="{1924D764-2BDF-409E-9D19-764A7B2488F2}" srcOrd="0" destOrd="0" presId="urn:microsoft.com/office/officeart/2005/8/layout/target1"/>
    <dgm:cxn modelId="{79DEF04F-8C09-4334-95F6-0FDAD2D4FFD9}" type="presParOf" srcId="{840A6CF0-67E4-43A5-A5B8-477E41E141B7}" destId="{70E639F3-4081-4ED4-9799-D8B1FF4BFDB3}" srcOrd="1" destOrd="0" presId="urn:microsoft.com/office/officeart/2005/8/layout/target1"/>
    <dgm:cxn modelId="{50193376-C0D3-49F2-9843-894756A5F691}" type="presParOf" srcId="{840A6CF0-67E4-43A5-A5B8-477E41E141B7}" destId="{0C3904E1-F22C-4E8E-8703-969700771F1F}" srcOrd="2" destOrd="0" presId="urn:microsoft.com/office/officeart/2005/8/layout/target1"/>
    <dgm:cxn modelId="{899DBD73-EA19-406B-8E78-CB7DB1715F06}" type="presParOf" srcId="{840A6CF0-67E4-43A5-A5B8-477E41E141B7}" destId="{142077FA-D5C1-4738-B24D-A76B21F419BB}" srcOrd="3" destOrd="0" presId="urn:microsoft.com/office/officeart/2005/8/layout/target1"/>
    <dgm:cxn modelId="{F0BA5128-B798-4494-B732-2693A95B9BC2}" type="presParOf" srcId="{840A6CF0-67E4-43A5-A5B8-477E41E141B7}" destId="{95E713C8-9027-4A1D-B42D-F6F0F4BE1915}" srcOrd="4" destOrd="0" presId="urn:microsoft.com/office/officeart/2005/8/layout/target1"/>
    <dgm:cxn modelId="{7ECC4BF7-AFF4-4933-9DA6-332893BF0B46}" type="presParOf" srcId="{840A6CF0-67E4-43A5-A5B8-477E41E141B7}" destId="{A03EF8B9-95F7-498F-954A-92EAFAAB4E18}" srcOrd="5" destOrd="0" presId="urn:microsoft.com/office/officeart/2005/8/layout/target1"/>
    <dgm:cxn modelId="{F611AEC4-CEFA-471D-8E25-F3073A501E91}" type="presParOf" srcId="{840A6CF0-67E4-43A5-A5B8-477E41E141B7}" destId="{20449E2A-025B-4C6B-885A-E92E673E3751}" srcOrd="6" destOrd="0" presId="urn:microsoft.com/office/officeart/2005/8/layout/target1"/>
    <dgm:cxn modelId="{55CBD98A-27DE-4EEB-998D-6222442E9240}" type="presParOf" srcId="{840A6CF0-67E4-43A5-A5B8-477E41E141B7}" destId="{1C4DFA75-0810-4DE1-960F-134D5AF468DA}" srcOrd="7" destOrd="0" presId="urn:microsoft.com/office/officeart/2005/8/layout/target1"/>
    <dgm:cxn modelId="{925C5ECD-9148-40B7-8B2B-2BFBC977531F}" type="presParOf" srcId="{840A6CF0-67E4-43A5-A5B8-477E41E141B7}" destId="{A8BFBE67-4C06-446F-A70A-25A24A85994C}" srcOrd="8" destOrd="0" presId="urn:microsoft.com/office/officeart/2005/8/layout/target1"/>
    <dgm:cxn modelId="{0000704B-E00F-4437-BD14-48B0C86CC39E}" type="presParOf" srcId="{840A6CF0-67E4-43A5-A5B8-477E41E141B7}" destId="{376A7252-E8C0-42DC-8286-4ABD3024FE51}" srcOrd="9" destOrd="0" presId="urn:microsoft.com/office/officeart/2005/8/layout/target1"/>
    <dgm:cxn modelId="{E7EE8138-6AAD-4624-952F-9D7F5EFA0E71}" type="presParOf" srcId="{840A6CF0-67E4-43A5-A5B8-477E41E141B7}" destId="{0B3FE0B3-EF2A-4E25-BA5E-1EA40B10B14F}" srcOrd="10" destOrd="0" presId="urn:microsoft.com/office/officeart/2005/8/layout/target1"/>
    <dgm:cxn modelId="{C3170649-1AB1-448F-B942-3C510C8A2048}" type="presParOf" srcId="{840A6CF0-67E4-43A5-A5B8-477E41E141B7}" destId="{9B7E854B-0DEE-4627-B2AF-D31CE9C06105}" srcOrd="11" destOrd="0" presId="urn:microsoft.com/office/officeart/2005/8/layout/target1"/>
    <dgm:cxn modelId="{8D08ED71-73A1-4F18-B0B7-A2A4831957C5}" type="presParOf" srcId="{840A6CF0-67E4-43A5-A5B8-477E41E141B7}" destId="{0FF0D1B7-CF89-45A2-942A-3C0A01901422}" srcOrd="12" destOrd="0" presId="urn:microsoft.com/office/officeart/2005/8/layout/target1"/>
    <dgm:cxn modelId="{DA3C4BF4-1D26-4706-B6CA-D642CF5F399B}" type="presParOf" srcId="{840A6CF0-67E4-43A5-A5B8-477E41E141B7}" destId="{DBAD964A-4A59-4611-9897-38D8F44C73FF}" srcOrd="13" destOrd="0" presId="urn:microsoft.com/office/officeart/2005/8/layout/target1"/>
    <dgm:cxn modelId="{F0635BE2-BCF9-406D-A18E-2D288D49BABA}" type="presParOf" srcId="{840A6CF0-67E4-43A5-A5B8-477E41E141B7}" destId="{B78AF44F-B2CF-4F9C-A9FE-9C65EE4185B4}" srcOrd="14" destOrd="0" presId="urn:microsoft.com/office/officeart/2005/8/layout/target1"/>
    <dgm:cxn modelId="{3CAA356F-B54E-46D7-A729-864BA493CCE1}" type="presParOf" srcId="{840A6CF0-67E4-43A5-A5B8-477E41E141B7}" destId="{3225F042-850A-4C33-9BC6-7278DEA26CD4}" srcOrd="15" destOrd="0" presId="urn:microsoft.com/office/officeart/2005/8/layout/target1"/>
  </dgm:cxnLst>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48139BD1-19C5-432D-BD56-C2943155ACFC}" type="doc">
      <dgm:prSet loTypeId="urn:microsoft.com/office/officeart/2005/8/layout/cycle2" loCatId="cycle" qsTypeId="urn:microsoft.com/office/officeart/2005/8/quickstyle/simple1" qsCatId="simple" csTypeId="urn:microsoft.com/office/officeart/2005/8/colors/colorful1" csCatId="colorful" phldr="1"/>
      <dgm:spPr/>
      <dgm:t>
        <a:bodyPr/>
        <a:lstStyle/>
        <a:p>
          <a:endParaRPr lang="en-US"/>
        </a:p>
      </dgm:t>
    </dgm:pt>
    <dgm:pt modelId="{551012F5-E6FF-43FE-8C04-0497EB1CC790}">
      <dgm:prSet phldrT="[Text]" custT="1"/>
      <dgm:spPr>
        <a:xfrm>
          <a:off x="2251902" y="741"/>
          <a:ext cx="704434" cy="704434"/>
        </a:xfrm>
        <a:solidFill>
          <a:srgbClr val="16A085"/>
        </a:solidFill>
        <a:ln w="25400" cap="flat" cmpd="sng" algn="ctr">
          <a:solidFill>
            <a:sysClr val="window" lastClr="FFFFFF">
              <a:hueOff val="0"/>
              <a:satOff val="0"/>
              <a:lumOff val="0"/>
              <a:alphaOff val="0"/>
            </a:sysClr>
          </a:solidFill>
          <a:prstDash val="solid"/>
        </a:ln>
        <a:effectLst/>
      </dgm:spPr>
      <dgm:t>
        <a:bodyPr/>
        <a:lstStyle/>
        <a:p>
          <a:r>
            <a:rPr lang="en-US" sz="1600" dirty="0">
              <a:solidFill>
                <a:sysClr val="window" lastClr="FFFFFF"/>
              </a:solidFill>
              <a:latin typeface="Calibri"/>
              <a:ea typeface="+mn-ea"/>
              <a:cs typeface="+mn-cs"/>
            </a:rPr>
            <a:t>1</a:t>
          </a:r>
        </a:p>
      </dgm:t>
    </dgm:pt>
    <dgm:pt modelId="{09048788-B1D6-4F63-B54C-20367F573D3B}" type="parTrans" cxnId="{96D556C4-FED0-488B-9304-DF9CFCA69A54}">
      <dgm:prSet/>
      <dgm:spPr/>
      <dgm:t>
        <a:bodyPr/>
        <a:lstStyle/>
        <a:p>
          <a:endParaRPr lang="en-US" sz="1400"/>
        </a:p>
      </dgm:t>
    </dgm:pt>
    <dgm:pt modelId="{E9FBFB22-E143-426B-8E9F-6BFB795D6516}" type="sibTrans" cxnId="{96D556C4-FED0-488B-9304-DF9CFCA69A54}">
      <dgm:prSet custT="1"/>
      <dgm:spPr>
        <a:xfrm rot="1350000">
          <a:off x="2994366" y="434605"/>
          <a:ext cx="187704" cy="237746"/>
        </a:xfrm>
        <a:solidFill>
          <a:srgbClr val="16A085">
            <a:hueOff val="0"/>
            <a:satOff val="0"/>
            <a:lumOff val="0"/>
            <a:alphaOff val="0"/>
          </a:srgbClr>
        </a:solidFill>
        <a:ln>
          <a:noFill/>
        </a:ln>
        <a:effectLst/>
      </dgm:spPr>
      <dgm:t>
        <a:bodyPr/>
        <a:lstStyle/>
        <a:p>
          <a:endParaRPr lang="en-US" sz="1000">
            <a:solidFill>
              <a:sysClr val="window" lastClr="FFFFFF"/>
            </a:solidFill>
            <a:latin typeface="Calibri"/>
            <a:ea typeface="+mn-ea"/>
            <a:cs typeface="+mn-cs"/>
          </a:endParaRPr>
        </a:p>
      </dgm:t>
    </dgm:pt>
    <dgm:pt modelId="{846571A3-5507-4C3E-AEE6-3872B94A80CB}">
      <dgm:prSet custT="1"/>
      <dgm:spPr>
        <a:solidFill>
          <a:srgbClr val="9BBB59"/>
        </a:solidFill>
      </dgm:spPr>
      <dgm:t>
        <a:bodyPr/>
        <a:lstStyle/>
        <a:p>
          <a:r>
            <a:rPr lang="fr-FR" sz="1600" dirty="0"/>
            <a:t>2</a:t>
          </a:r>
        </a:p>
      </dgm:t>
    </dgm:pt>
    <dgm:pt modelId="{F5C4AF12-A37C-462C-9B71-534B4712534E}" type="parTrans" cxnId="{A3F3085E-1BEE-45BD-881C-FAD4D4F04AA7}">
      <dgm:prSet/>
      <dgm:spPr/>
      <dgm:t>
        <a:bodyPr/>
        <a:lstStyle/>
        <a:p>
          <a:endParaRPr lang="fr-FR" sz="1400"/>
        </a:p>
      </dgm:t>
    </dgm:pt>
    <dgm:pt modelId="{FF43C5A9-74CF-4FEC-9243-E81AB63C2255}" type="sibTrans" cxnId="{A3F3085E-1BEE-45BD-881C-FAD4D4F04AA7}">
      <dgm:prSet custT="1"/>
      <dgm:spPr>
        <a:solidFill>
          <a:srgbClr val="9BBB59"/>
        </a:solidFill>
      </dgm:spPr>
      <dgm:t>
        <a:bodyPr/>
        <a:lstStyle/>
        <a:p>
          <a:endParaRPr lang="fr-FR" sz="1000"/>
        </a:p>
      </dgm:t>
    </dgm:pt>
    <dgm:pt modelId="{6590C1C4-0E77-469E-9854-2319EB9793AE}">
      <dgm:prSet custT="1"/>
      <dgm:spPr>
        <a:solidFill>
          <a:srgbClr val="F39C12"/>
        </a:solidFill>
      </dgm:spPr>
      <dgm:t>
        <a:bodyPr/>
        <a:lstStyle/>
        <a:p>
          <a:r>
            <a:rPr lang="fr-FR" sz="1600" dirty="0"/>
            <a:t>3</a:t>
          </a:r>
        </a:p>
      </dgm:t>
    </dgm:pt>
    <dgm:pt modelId="{ABD6B62B-FD96-41DA-8505-D76C9ECABD50}" type="parTrans" cxnId="{DF00F8FE-C556-4986-BDA1-57EFA993A785}">
      <dgm:prSet/>
      <dgm:spPr/>
      <dgm:t>
        <a:bodyPr/>
        <a:lstStyle/>
        <a:p>
          <a:endParaRPr lang="fr-FR" sz="1400"/>
        </a:p>
      </dgm:t>
    </dgm:pt>
    <dgm:pt modelId="{60EFBEB5-991C-4403-B478-0271B6124E26}" type="sibTrans" cxnId="{DF00F8FE-C556-4986-BDA1-57EFA993A785}">
      <dgm:prSet custT="1"/>
      <dgm:spPr>
        <a:solidFill>
          <a:srgbClr val="F39C12"/>
        </a:solidFill>
      </dgm:spPr>
      <dgm:t>
        <a:bodyPr/>
        <a:lstStyle/>
        <a:p>
          <a:endParaRPr lang="fr-FR" sz="1000" dirty="0"/>
        </a:p>
      </dgm:t>
    </dgm:pt>
    <dgm:pt modelId="{2C6EF24C-7512-4D4D-9483-77D0700F7BED}">
      <dgm:prSet custT="1"/>
      <dgm:spPr>
        <a:solidFill>
          <a:srgbClr val="C0392B"/>
        </a:solidFill>
      </dgm:spPr>
      <dgm:t>
        <a:bodyPr/>
        <a:lstStyle/>
        <a:p>
          <a:r>
            <a:rPr lang="fr-FR" sz="1600" dirty="0"/>
            <a:t>4</a:t>
          </a:r>
        </a:p>
      </dgm:t>
    </dgm:pt>
    <dgm:pt modelId="{BC834D9E-7024-4BB4-8356-01AA56C968E7}" type="parTrans" cxnId="{B865CD0B-7251-48E0-8D92-D61BCC9B43D7}">
      <dgm:prSet/>
      <dgm:spPr/>
      <dgm:t>
        <a:bodyPr/>
        <a:lstStyle/>
        <a:p>
          <a:endParaRPr lang="fr-FR" sz="1400"/>
        </a:p>
      </dgm:t>
    </dgm:pt>
    <dgm:pt modelId="{E6A55936-0250-408B-A803-03EF9D7580DC}" type="sibTrans" cxnId="{B865CD0B-7251-48E0-8D92-D61BCC9B43D7}">
      <dgm:prSet custT="1"/>
      <dgm:spPr>
        <a:solidFill>
          <a:srgbClr val="C0392B"/>
        </a:solidFill>
      </dgm:spPr>
      <dgm:t>
        <a:bodyPr/>
        <a:lstStyle/>
        <a:p>
          <a:endParaRPr lang="fr-FR" sz="1000"/>
        </a:p>
      </dgm:t>
    </dgm:pt>
    <dgm:pt modelId="{8A6BD54E-146D-4FAE-AB2F-B402401DD8DB}">
      <dgm:prSet custT="1"/>
      <dgm:spPr>
        <a:solidFill>
          <a:srgbClr val="7030A0"/>
        </a:solidFill>
      </dgm:spPr>
      <dgm:t>
        <a:bodyPr/>
        <a:lstStyle/>
        <a:p>
          <a:r>
            <a:rPr lang="fr-FR" sz="1600" dirty="0"/>
            <a:t>5</a:t>
          </a:r>
        </a:p>
      </dgm:t>
    </dgm:pt>
    <dgm:pt modelId="{B1F12A60-922F-4D21-B4AC-44A03795BD03}" type="parTrans" cxnId="{A856BC1A-C42B-425D-BFCF-7414FBCC4460}">
      <dgm:prSet/>
      <dgm:spPr/>
      <dgm:t>
        <a:bodyPr/>
        <a:lstStyle/>
        <a:p>
          <a:endParaRPr lang="fr-FR" sz="1400"/>
        </a:p>
      </dgm:t>
    </dgm:pt>
    <dgm:pt modelId="{51568DDF-183E-40FB-A00D-BEABE6278E27}" type="sibTrans" cxnId="{A856BC1A-C42B-425D-BFCF-7414FBCC4460}">
      <dgm:prSet custT="1"/>
      <dgm:spPr>
        <a:solidFill>
          <a:srgbClr val="7030A0"/>
        </a:solidFill>
      </dgm:spPr>
      <dgm:t>
        <a:bodyPr/>
        <a:lstStyle/>
        <a:p>
          <a:endParaRPr lang="fr-FR" sz="1000"/>
        </a:p>
      </dgm:t>
    </dgm:pt>
    <dgm:pt modelId="{191479D2-1B91-4364-91CA-87ADB0336768}" type="pres">
      <dgm:prSet presAssocID="{48139BD1-19C5-432D-BD56-C2943155ACFC}" presName="cycle" presStyleCnt="0">
        <dgm:presLayoutVars>
          <dgm:dir/>
          <dgm:resizeHandles val="exact"/>
        </dgm:presLayoutVars>
      </dgm:prSet>
      <dgm:spPr/>
    </dgm:pt>
    <dgm:pt modelId="{8CCB0799-DA2E-4325-8CF5-2558C49673C8}" type="pres">
      <dgm:prSet presAssocID="{551012F5-E6FF-43FE-8C04-0497EB1CC790}" presName="node" presStyleLbl="node1" presStyleIdx="0" presStyleCnt="5" custScaleX="56775" custScaleY="56775" custRadScaleRad="108886" custRadScaleInc="-12776">
        <dgm:presLayoutVars>
          <dgm:bulletEnabled val="1"/>
        </dgm:presLayoutVars>
      </dgm:prSet>
      <dgm:spPr>
        <a:prstGeom prst="ellipse">
          <a:avLst/>
        </a:prstGeom>
      </dgm:spPr>
    </dgm:pt>
    <dgm:pt modelId="{9836CC64-BFC5-49F3-ACB5-1A129FF2FEE1}" type="pres">
      <dgm:prSet presAssocID="{E9FBFB22-E143-426B-8E9F-6BFB795D6516}" presName="sibTrans" presStyleLbl="sibTrans2D1" presStyleIdx="0" presStyleCnt="5" custScaleX="78667" custLinFactNeighborX="27631" custLinFactNeighborY="-47640"/>
      <dgm:spPr>
        <a:prstGeom prst="rightArrow">
          <a:avLst>
            <a:gd name="adj1" fmla="val 60000"/>
            <a:gd name="adj2" fmla="val 50000"/>
          </a:avLst>
        </a:prstGeom>
      </dgm:spPr>
    </dgm:pt>
    <dgm:pt modelId="{CA8A774C-2F45-4586-95D7-4EB6D7A52F7E}" type="pres">
      <dgm:prSet presAssocID="{E9FBFB22-E143-426B-8E9F-6BFB795D6516}" presName="connectorText" presStyleLbl="sibTrans2D1" presStyleIdx="0" presStyleCnt="5"/>
      <dgm:spPr/>
    </dgm:pt>
    <dgm:pt modelId="{C8B5CB75-9FC9-47FA-902B-37FC7C608991}" type="pres">
      <dgm:prSet presAssocID="{846571A3-5507-4C3E-AEE6-3872B94A80CB}" presName="node" presStyleLbl="node1" presStyleIdx="1" presStyleCnt="5" custScaleX="56775" custScaleY="56775" custRadScaleRad="88386" custRadScaleInc="15295">
        <dgm:presLayoutVars>
          <dgm:bulletEnabled val="1"/>
        </dgm:presLayoutVars>
      </dgm:prSet>
      <dgm:spPr/>
    </dgm:pt>
    <dgm:pt modelId="{D28560A6-F9EE-446B-9448-42DDAED067F4}" type="pres">
      <dgm:prSet presAssocID="{FF43C5A9-74CF-4FEC-9243-E81AB63C2255}" presName="sibTrans" presStyleLbl="sibTrans2D1" presStyleIdx="1" presStyleCnt="5" custScaleX="116528" custScaleY="115862" custLinFactNeighborX="15628" custLinFactNeighborY="13325"/>
      <dgm:spPr/>
    </dgm:pt>
    <dgm:pt modelId="{158046ED-6608-4C60-AD86-CC40188A7246}" type="pres">
      <dgm:prSet presAssocID="{FF43C5A9-74CF-4FEC-9243-E81AB63C2255}" presName="connectorText" presStyleLbl="sibTrans2D1" presStyleIdx="1" presStyleCnt="5"/>
      <dgm:spPr/>
    </dgm:pt>
    <dgm:pt modelId="{4376FDA7-43F6-46A0-84E2-6BF69C6C3A76}" type="pres">
      <dgm:prSet presAssocID="{6590C1C4-0E77-469E-9854-2319EB9793AE}" presName="node" presStyleLbl="node1" presStyleIdx="2" presStyleCnt="5" custScaleX="56775" custScaleY="56775" custRadScaleRad="82885" custRadScaleInc="881">
        <dgm:presLayoutVars>
          <dgm:bulletEnabled val="1"/>
        </dgm:presLayoutVars>
      </dgm:prSet>
      <dgm:spPr/>
    </dgm:pt>
    <dgm:pt modelId="{177417AC-99A3-406D-B5C9-27F4FFF13617}" type="pres">
      <dgm:prSet presAssocID="{60EFBEB5-991C-4403-B478-0271B6124E26}" presName="sibTrans" presStyleLbl="sibTrans2D1" presStyleIdx="2" presStyleCnt="5" custAng="21588136" custFlipVert="1" custScaleX="85433" custLinFactNeighborX="1469" custLinFactNeighborY="37304"/>
      <dgm:spPr/>
    </dgm:pt>
    <dgm:pt modelId="{675A8DE2-9B97-476B-A454-E964A22D6376}" type="pres">
      <dgm:prSet presAssocID="{60EFBEB5-991C-4403-B478-0271B6124E26}" presName="connectorText" presStyleLbl="sibTrans2D1" presStyleIdx="2" presStyleCnt="5"/>
      <dgm:spPr/>
    </dgm:pt>
    <dgm:pt modelId="{14E061F7-154C-42F3-9830-5452A047FE6D}" type="pres">
      <dgm:prSet presAssocID="{2C6EF24C-7512-4D4D-9483-77D0700F7BED}" presName="node" presStyleLbl="node1" presStyleIdx="3" presStyleCnt="5" custScaleX="56775" custScaleY="56775" custRadScaleRad="93530" custRadScaleInc="26565">
        <dgm:presLayoutVars>
          <dgm:bulletEnabled val="1"/>
        </dgm:presLayoutVars>
      </dgm:prSet>
      <dgm:spPr/>
    </dgm:pt>
    <dgm:pt modelId="{B48379EE-566D-4B1F-9CD5-04F047E30425}" type="pres">
      <dgm:prSet presAssocID="{E6A55936-0250-408B-A803-03EF9D7580DC}" presName="sibTrans" presStyleLbl="sibTrans2D1" presStyleIdx="3" presStyleCnt="5" custScaleX="111635" custScaleY="104453" custLinFactNeighborX="-18624" custLinFactNeighborY="4853"/>
      <dgm:spPr/>
    </dgm:pt>
    <dgm:pt modelId="{9BD515AA-01D0-4506-A684-8F902BBFE4EA}" type="pres">
      <dgm:prSet presAssocID="{E6A55936-0250-408B-A803-03EF9D7580DC}" presName="connectorText" presStyleLbl="sibTrans2D1" presStyleIdx="3" presStyleCnt="5"/>
      <dgm:spPr/>
    </dgm:pt>
    <dgm:pt modelId="{9FF98F62-CE9C-4645-95F9-F705B901AD7E}" type="pres">
      <dgm:prSet presAssocID="{8A6BD54E-146D-4FAE-AB2F-B402401DD8DB}" presName="node" presStyleLbl="node1" presStyleIdx="4" presStyleCnt="5" custScaleX="56775" custScaleY="56775" custRadScaleRad="132668" custRadScaleInc="-19785">
        <dgm:presLayoutVars>
          <dgm:bulletEnabled val="1"/>
        </dgm:presLayoutVars>
      </dgm:prSet>
      <dgm:spPr/>
    </dgm:pt>
    <dgm:pt modelId="{6E579A13-DDFA-4D23-9E55-EBC23857FA8B}" type="pres">
      <dgm:prSet presAssocID="{51568DDF-183E-40FB-A00D-BEABE6278E27}" presName="sibTrans" presStyleLbl="sibTrans2D1" presStyleIdx="4" presStyleCnt="5" custScaleX="86395" custScaleY="100093" custLinFactNeighborX="-16284" custLinFactNeighborY="-60238"/>
      <dgm:spPr/>
    </dgm:pt>
    <dgm:pt modelId="{9FC4C9F5-68D4-4F88-9891-06527D85E0F2}" type="pres">
      <dgm:prSet presAssocID="{51568DDF-183E-40FB-A00D-BEABE6278E27}" presName="connectorText" presStyleLbl="sibTrans2D1" presStyleIdx="4" presStyleCnt="5"/>
      <dgm:spPr/>
    </dgm:pt>
  </dgm:ptLst>
  <dgm:cxnLst>
    <dgm:cxn modelId="{1C5B8603-DF0D-41F5-BF3E-70F24A15F226}" type="presOf" srcId="{51568DDF-183E-40FB-A00D-BEABE6278E27}" destId="{9FC4C9F5-68D4-4F88-9891-06527D85E0F2}" srcOrd="1" destOrd="0" presId="urn:microsoft.com/office/officeart/2005/8/layout/cycle2"/>
    <dgm:cxn modelId="{B865CD0B-7251-48E0-8D92-D61BCC9B43D7}" srcId="{48139BD1-19C5-432D-BD56-C2943155ACFC}" destId="{2C6EF24C-7512-4D4D-9483-77D0700F7BED}" srcOrd="3" destOrd="0" parTransId="{BC834D9E-7024-4BB4-8356-01AA56C968E7}" sibTransId="{E6A55936-0250-408B-A803-03EF9D7580DC}"/>
    <dgm:cxn modelId="{60C55818-5348-427A-90F0-09E219312287}" type="presOf" srcId="{FF43C5A9-74CF-4FEC-9243-E81AB63C2255}" destId="{D28560A6-F9EE-446B-9448-42DDAED067F4}" srcOrd="0" destOrd="0" presId="urn:microsoft.com/office/officeart/2005/8/layout/cycle2"/>
    <dgm:cxn modelId="{A856BC1A-C42B-425D-BFCF-7414FBCC4460}" srcId="{48139BD1-19C5-432D-BD56-C2943155ACFC}" destId="{8A6BD54E-146D-4FAE-AB2F-B402401DD8DB}" srcOrd="4" destOrd="0" parTransId="{B1F12A60-922F-4D21-B4AC-44A03795BD03}" sibTransId="{51568DDF-183E-40FB-A00D-BEABE6278E27}"/>
    <dgm:cxn modelId="{D4C97423-D10A-4ADE-9871-EC897581598A}" type="presOf" srcId="{E6A55936-0250-408B-A803-03EF9D7580DC}" destId="{B48379EE-566D-4B1F-9CD5-04F047E30425}" srcOrd="0" destOrd="0" presId="urn:microsoft.com/office/officeart/2005/8/layout/cycle2"/>
    <dgm:cxn modelId="{67A6A528-B2CD-40EA-ABE7-23458EF305BE}" type="presOf" srcId="{E9FBFB22-E143-426B-8E9F-6BFB795D6516}" destId="{9836CC64-BFC5-49F3-ACB5-1A129FF2FEE1}" srcOrd="0" destOrd="0" presId="urn:microsoft.com/office/officeart/2005/8/layout/cycle2"/>
    <dgm:cxn modelId="{FDD2DB39-3706-4B13-A6B3-E1814CFD887C}" type="presOf" srcId="{8A6BD54E-146D-4FAE-AB2F-B402401DD8DB}" destId="{9FF98F62-CE9C-4645-95F9-F705B901AD7E}" srcOrd="0" destOrd="0" presId="urn:microsoft.com/office/officeart/2005/8/layout/cycle2"/>
    <dgm:cxn modelId="{A3F3085E-1BEE-45BD-881C-FAD4D4F04AA7}" srcId="{48139BD1-19C5-432D-BD56-C2943155ACFC}" destId="{846571A3-5507-4C3E-AEE6-3872B94A80CB}" srcOrd="1" destOrd="0" parTransId="{F5C4AF12-A37C-462C-9B71-534B4712534E}" sibTransId="{FF43C5A9-74CF-4FEC-9243-E81AB63C2255}"/>
    <dgm:cxn modelId="{4DE90841-F716-4144-8ECD-91AA73A6F1CD}" type="presOf" srcId="{E9FBFB22-E143-426B-8E9F-6BFB795D6516}" destId="{CA8A774C-2F45-4586-95D7-4EB6D7A52F7E}" srcOrd="1" destOrd="0" presId="urn:microsoft.com/office/officeart/2005/8/layout/cycle2"/>
    <dgm:cxn modelId="{E7174952-1BF9-42B1-9BC3-11909CF56D77}" type="presOf" srcId="{51568DDF-183E-40FB-A00D-BEABE6278E27}" destId="{6E579A13-DDFA-4D23-9E55-EBC23857FA8B}" srcOrd="0" destOrd="0" presId="urn:microsoft.com/office/officeart/2005/8/layout/cycle2"/>
    <dgm:cxn modelId="{05A79658-FB48-4628-8FC5-1AC52B4C9133}" type="presOf" srcId="{48139BD1-19C5-432D-BD56-C2943155ACFC}" destId="{191479D2-1B91-4364-91CA-87ADB0336768}" srcOrd="0" destOrd="0" presId="urn:microsoft.com/office/officeart/2005/8/layout/cycle2"/>
    <dgm:cxn modelId="{CF51327E-B35A-4A8F-8EEA-27AC5C10E7A8}" type="presOf" srcId="{FF43C5A9-74CF-4FEC-9243-E81AB63C2255}" destId="{158046ED-6608-4C60-AD86-CC40188A7246}" srcOrd="1" destOrd="0" presId="urn:microsoft.com/office/officeart/2005/8/layout/cycle2"/>
    <dgm:cxn modelId="{FA5F3BA8-57CD-4D37-8ACD-4EB0697FFA8A}" type="presOf" srcId="{60EFBEB5-991C-4403-B478-0271B6124E26}" destId="{177417AC-99A3-406D-B5C9-27F4FFF13617}" srcOrd="0" destOrd="0" presId="urn:microsoft.com/office/officeart/2005/8/layout/cycle2"/>
    <dgm:cxn modelId="{D75251AD-59D3-4431-811B-CBC3F951CB2E}" type="presOf" srcId="{846571A3-5507-4C3E-AEE6-3872B94A80CB}" destId="{C8B5CB75-9FC9-47FA-902B-37FC7C608991}" srcOrd="0" destOrd="0" presId="urn:microsoft.com/office/officeart/2005/8/layout/cycle2"/>
    <dgm:cxn modelId="{104894C1-2AB5-4B52-BF90-43ACECF520EC}" type="presOf" srcId="{E6A55936-0250-408B-A803-03EF9D7580DC}" destId="{9BD515AA-01D0-4506-A684-8F902BBFE4EA}" srcOrd="1" destOrd="0" presId="urn:microsoft.com/office/officeart/2005/8/layout/cycle2"/>
    <dgm:cxn modelId="{0B20CDC3-55AC-43ED-9C59-535E4F940384}" type="presOf" srcId="{6590C1C4-0E77-469E-9854-2319EB9793AE}" destId="{4376FDA7-43F6-46A0-84E2-6BF69C6C3A76}" srcOrd="0" destOrd="0" presId="urn:microsoft.com/office/officeart/2005/8/layout/cycle2"/>
    <dgm:cxn modelId="{96D556C4-FED0-488B-9304-DF9CFCA69A54}" srcId="{48139BD1-19C5-432D-BD56-C2943155ACFC}" destId="{551012F5-E6FF-43FE-8C04-0497EB1CC790}" srcOrd="0" destOrd="0" parTransId="{09048788-B1D6-4F63-B54C-20367F573D3B}" sibTransId="{E9FBFB22-E143-426B-8E9F-6BFB795D6516}"/>
    <dgm:cxn modelId="{165F41C9-B1C5-4AF8-ABCD-3A99CA71FE1B}" type="presOf" srcId="{2C6EF24C-7512-4D4D-9483-77D0700F7BED}" destId="{14E061F7-154C-42F3-9830-5452A047FE6D}" srcOrd="0" destOrd="0" presId="urn:microsoft.com/office/officeart/2005/8/layout/cycle2"/>
    <dgm:cxn modelId="{FBF094DD-1E0F-4739-9B32-C7D8C0E9CE1F}" type="presOf" srcId="{551012F5-E6FF-43FE-8C04-0497EB1CC790}" destId="{8CCB0799-DA2E-4325-8CF5-2558C49673C8}" srcOrd="0" destOrd="0" presId="urn:microsoft.com/office/officeart/2005/8/layout/cycle2"/>
    <dgm:cxn modelId="{F82464EF-FDE8-4B0F-82EE-56B2BABCB6E3}" type="presOf" srcId="{60EFBEB5-991C-4403-B478-0271B6124E26}" destId="{675A8DE2-9B97-476B-A454-E964A22D6376}" srcOrd="1" destOrd="0" presId="urn:microsoft.com/office/officeart/2005/8/layout/cycle2"/>
    <dgm:cxn modelId="{DF00F8FE-C556-4986-BDA1-57EFA993A785}" srcId="{48139BD1-19C5-432D-BD56-C2943155ACFC}" destId="{6590C1C4-0E77-469E-9854-2319EB9793AE}" srcOrd="2" destOrd="0" parTransId="{ABD6B62B-FD96-41DA-8505-D76C9ECABD50}" sibTransId="{60EFBEB5-991C-4403-B478-0271B6124E26}"/>
    <dgm:cxn modelId="{C34213C9-7ED2-44D6-960E-F859EC42ED30}" type="presParOf" srcId="{191479D2-1B91-4364-91CA-87ADB0336768}" destId="{8CCB0799-DA2E-4325-8CF5-2558C49673C8}" srcOrd="0" destOrd="0" presId="urn:microsoft.com/office/officeart/2005/8/layout/cycle2"/>
    <dgm:cxn modelId="{46B90CB4-6A33-4034-8D84-3034885927F9}" type="presParOf" srcId="{191479D2-1B91-4364-91CA-87ADB0336768}" destId="{9836CC64-BFC5-49F3-ACB5-1A129FF2FEE1}" srcOrd="1" destOrd="0" presId="urn:microsoft.com/office/officeart/2005/8/layout/cycle2"/>
    <dgm:cxn modelId="{5610BBF3-B83C-43DF-AD50-EEAEA5B6F553}" type="presParOf" srcId="{9836CC64-BFC5-49F3-ACB5-1A129FF2FEE1}" destId="{CA8A774C-2F45-4586-95D7-4EB6D7A52F7E}" srcOrd="0" destOrd="0" presId="urn:microsoft.com/office/officeart/2005/8/layout/cycle2"/>
    <dgm:cxn modelId="{5A861671-ECDF-4E19-96CF-D5E01A6372A6}" type="presParOf" srcId="{191479D2-1B91-4364-91CA-87ADB0336768}" destId="{C8B5CB75-9FC9-47FA-902B-37FC7C608991}" srcOrd="2" destOrd="0" presId="urn:microsoft.com/office/officeart/2005/8/layout/cycle2"/>
    <dgm:cxn modelId="{1275D4B1-5CC2-49D0-8BDF-FA9D3B72129E}" type="presParOf" srcId="{191479D2-1B91-4364-91CA-87ADB0336768}" destId="{D28560A6-F9EE-446B-9448-42DDAED067F4}" srcOrd="3" destOrd="0" presId="urn:microsoft.com/office/officeart/2005/8/layout/cycle2"/>
    <dgm:cxn modelId="{CF05631B-89DC-4C6D-A59C-D6E47B2E46EB}" type="presParOf" srcId="{D28560A6-F9EE-446B-9448-42DDAED067F4}" destId="{158046ED-6608-4C60-AD86-CC40188A7246}" srcOrd="0" destOrd="0" presId="urn:microsoft.com/office/officeart/2005/8/layout/cycle2"/>
    <dgm:cxn modelId="{FF26A7E7-90B2-42C2-BD40-5368164DA554}" type="presParOf" srcId="{191479D2-1B91-4364-91CA-87ADB0336768}" destId="{4376FDA7-43F6-46A0-84E2-6BF69C6C3A76}" srcOrd="4" destOrd="0" presId="urn:microsoft.com/office/officeart/2005/8/layout/cycle2"/>
    <dgm:cxn modelId="{FF0F2998-7EC4-40D8-A14C-8B6D2D9EE33D}" type="presParOf" srcId="{191479D2-1B91-4364-91CA-87ADB0336768}" destId="{177417AC-99A3-406D-B5C9-27F4FFF13617}" srcOrd="5" destOrd="0" presId="urn:microsoft.com/office/officeart/2005/8/layout/cycle2"/>
    <dgm:cxn modelId="{46F0C714-46CC-4DF1-AF1D-646D827C7B5C}" type="presParOf" srcId="{177417AC-99A3-406D-B5C9-27F4FFF13617}" destId="{675A8DE2-9B97-476B-A454-E964A22D6376}" srcOrd="0" destOrd="0" presId="urn:microsoft.com/office/officeart/2005/8/layout/cycle2"/>
    <dgm:cxn modelId="{966CC8F6-699F-433B-B344-FE2CFDACEA28}" type="presParOf" srcId="{191479D2-1B91-4364-91CA-87ADB0336768}" destId="{14E061F7-154C-42F3-9830-5452A047FE6D}" srcOrd="6" destOrd="0" presId="urn:microsoft.com/office/officeart/2005/8/layout/cycle2"/>
    <dgm:cxn modelId="{5BF4E56D-85FA-4672-ABA0-CFCD5C7BE8B5}" type="presParOf" srcId="{191479D2-1B91-4364-91CA-87ADB0336768}" destId="{B48379EE-566D-4B1F-9CD5-04F047E30425}" srcOrd="7" destOrd="0" presId="urn:microsoft.com/office/officeart/2005/8/layout/cycle2"/>
    <dgm:cxn modelId="{C446CA4C-5F8C-4FE2-8B93-830584FE0111}" type="presParOf" srcId="{B48379EE-566D-4B1F-9CD5-04F047E30425}" destId="{9BD515AA-01D0-4506-A684-8F902BBFE4EA}" srcOrd="0" destOrd="0" presId="urn:microsoft.com/office/officeart/2005/8/layout/cycle2"/>
    <dgm:cxn modelId="{EE3ABEA9-110B-4969-9B17-50E7EB51B403}" type="presParOf" srcId="{191479D2-1B91-4364-91CA-87ADB0336768}" destId="{9FF98F62-CE9C-4645-95F9-F705B901AD7E}" srcOrd="8" destOrd="0" presId="urn:microsoft.com/office/officeart/2005/8/layout/cycle2"/>
    <dgm:cxn modelId="{F47AC1F0-E629-4C06-B377-742EE7F63622}" type="presParOf" srcId="{191479D2-1B91-4364-91CA-87ADB0336768}" destId="{6E579A13-DDFA-4D23-9E55-EBC23857FA8B}" srcOrd="9" destOrd="0" presId="urn:microsoft.com/office/officeart/2005/8/layout/cycle2"/>
    <dgm:cxn modelId="{7EC7ADD0-CE5F-43DA-B1AA-71D9AF46801C}" type="presParOf" srcId="{6E579A13-DDFA-4D23-9E55-EBC23857FA8B}" destId="{9FC4C9F5-68D4-4F88-9891-06527D85E0F2}" srcOrd="0" destOrd="0" presId="urn:microsoft.com/office/officeart/2005/8/layout/cycle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FF0D1B7-CF89-45A2-942A-3C0A01901422}">
      <dsp:nvSpPr>
        <dsp:cNvPr id="0" name=""/>
        <dsp:cNvSpPr/>
      </dsp:nvSpPr>
      <dsp:spPr>
        <a:xfrm>
          <a:off x="972158" y="245056"/>
          <a:ext cx="735170" cy="735170"/>
        </a:xfrm>
        <a:prstGeom prst="ellipse">
          <a:avLst/>
        </a:prstGeom>
        <a:solidFill>
          <a:srgbClr val="00000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8BFBE67-4C06-446F-A70A-25A24A85994C}">
      <dsp:nvSpPr>
        <dsp:cNvPr id="0" name=""/>
        <dsp:cNvSpPr/>
      </dsp:nvSpPr>
      <dsp:spPr>
        <a:xfrm>
          <a:off x="1069242" y="342345"/>
          <a:ext cx="525034" cy="525034"/>
        </a:xfrm>
        <a:prstGeom prst="ellipse">
          <a:avLst/>
        </a:prstGeom>
        <a:solidFill>
          <a:srgbClr val="FF000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5E713C8-9027-4A1D-B42D-F6F0F4BE1915}">
      <dsp:nvSpPr>
        <dsp:cNvPr id="0" name=""/>
        <dsp:cNvSpPr/>
      </dsp:nvSpPr>
      <dsp:spPr>
        <a:xfrm>
          <a:off x="1174248" y="447352"/>
          <a:ext cx="315020" cy="315020"/>
        </a:xfrm>
        <a:prstGeom prst="ellipse">
          <a:avLst/>
        </a:prstGeom>
        <a:solidFill>
          <a:srgbClr val="FFC00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924D764-2BDF-409E-9D19-764A7B2488F2}">
      <dsp:nvSpPr>
        <dsp:cNvPr id="0" name=""/>
        <dsp:cNvSpPr/>
      </dsp:nvSpPr>
      <dsp:spPr>
        <a:xfrm>
          <a:off x="1279255" y="552359"/>
          <a:ext cx="105006" cy="105006"/>
        </a:xfrm>
        <a:prstGeom prst="ellipse">
          <a:avLst/>
        </a:prstGeom>
        <a:solidFill>
          <a:srgbClr val="92D05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0E639F3-4081-4ED4-9799-D8B1FF4BFDB3}">
      <dsp:nvSpPr>
        <dsp:cNvPr id="0" name=""/>
        <dsp:cNvSpPr/>
      </dsp:nvSpPr>
      <dsp:spPr>
        <a:xfrm>
          <a:off x="1909565" y="14084"/>
          <a:ext cx="830812" cy="14471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0 à 2 salariés</a:t>
          </a:r>
        </a:p>
      </dsp:txBody>
      <dsp:txXfrm>
        <a:off x="1909565" y="14084"/>
        <a:ext cx="830812" cy="144711"/>
      </dsp:txXfrm>
    </dsp:sp>
    <dsp:sp modelId="{0C3904E1-F22C-4E8E-8703-969700771F1F}">
      <dsp:nvSpPr>
        <dsp:cNvPr id="0" name=""/>
        <dsp:cNvSpPr/>
      </dsp:nvSpPr>
      <dsp:spPr>
        <a:xfrm>
          <a:off x="1729976" y="80135"/>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142077FA-D5C1-4738-B24D-A76B21F419BB}">
      <dsp:nvSpPr>
        <dsp:cNvPr id="0" name=""/>
        <dsp:cNvSpPr/>
      </dsp:nvSpPr>
      <dsp:spPr>
        <a:xfrm rot="5400000">
          <a:off x="1268044" y="138029"/>
          <a:ext cx="519520" cy="404343"/>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A03EF8B9-95F7-498F-954A-92EAFAAB4E18}">
      <dsp:nvSpPr>
        <dsp:cNvPr id="0" name=""/>
        <dsp:cNvSpPr/>
      </dsp:nvSpPr>
      <dsp:spPr>
        <a:xfrm>
          <a:off x="1921817" y="216443"/>
          <a:ext cx="794605" cy="694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3 à 9 salariés</a:t>
          </a:r>
        </a:p>
      </dsp:txBody>
      <dsp:txXfrm>
        <a:off x="1921817" y="216443"/>
        <a:ext cx="794605" cy="69457"/>
      </dsp:txXfrm>
    </dsp:sp>
    <dsp:sp modelId="{20449E2A-025B-4C6B-885A-E92E673E3751}">
      <dsp:nvSpPr>
        <dsp:cNvPr id="0" name=""/>
        <dsp:cNvSpPr/>
      </dsp:nvSpPr>
      <dsp:spPr>
        <a:xfrm>
          <a:off x="1729976" y="255963"/>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1C4DFA75-0810-4DE1-960F-134D5AF468DA}">
      <dsp:nvSpPr>
        <dsp:cNvPr id="0" name=""/>
        <dsp:cNvSpPr/>
      </dsp:nvSpPr>
      <dsp:spPr>
        <a:xfrm rot="5400000">
          <a:off x="1357980" y="310978"/>
          <a:ext cx="426643" cy="316735"/>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376A7252-E8C0-42DC-8286-4ABD3024FE51}">
      <dsp:nvSpPr>
        <dsp:cNvPr id="0" name=""/>
        <dsp:cNvSpPr/>
      </dsp:nvSpPr>
      <dsp:spPr>
        <a:xfrm>
          <a:off x="1916430" y="337188"/>
          <a:ext cx="849577" cy="17626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10 à 24 salariés</a:t>
          </a:r>
        </a:p>
      </dsp:txBody>
      <dsp:txXfrm>
        <a:off x="1916430" y="337188"/>
        <a:ext cx="849577" cy="176264"/>
      </dsp:txXfrm>
    </dsp:sp>
    <dsp:sp modelId="{0B3FE0B3-EF2A-4E25-BA5E-1EA40B10B14F}">
      <dsp:nvSpPr>
        <dsp:cNvPr id="0" name=""/>
        <dsp:cNvSpPr/>
      </dsp:nvSpPr>
      <dsp:spPr>
        <a:xfrm>
          <a:off x="1729976" y="431791"/>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9B7E854B-0DEE-4627-B2AF-D31CE9C06105}">
      <dsp:nvSpPr>
        <dsp:cNvPr id="0" name=""/>
        <dsp:cNvSpPr/>
      </dsp:nvSpPr>
      <dsp:spPr>
        <a:xfrm rot="5400000">
          <a:off x="1445036" y="472164"/>
          <a:ext cx="325435" cy="244444"/>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DBAD964A-4A59-4611-9897-38D8F44C73FF}">
      <dsp:nvSpPr>
        <dsp:cNvPr id="0" name=""/>
        <dsp:cNvSpPr/>
      </dsp:nvSpPr>
      <dsp:spPr>
        <a:xfrm>
          <a:off x="1930854" y="487980"/>
          <a:ext cx="923403" cy="2199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25</a:t>
          </a:r>
          <a:r>
            <a:rPr lang="fr-FR" sz="900" kern="1200" baseline="0" dirty="0">
              <a:solidFill>
                <a:srgbClr val="000000"/>
              </a:solidFill>
              <a:latin typeface="Lato" panose="020F0502020204030203" pitchFamily="34" charset="0"/>
              <a:ea typeface="Lato" panose="020F0502020204030203" pitchFamily="34" charset="0"/>
              <a:cs typeface="Lato" panose="020F0502020204030203" pitchFamily="34" charset="0"/>
            </a:rPr>
            <a:t> salariés et +</a:t>
          </a:r>
          <a:endPar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endParaRPr>
        </a:p>
      </dsp:txBody>
      <dsp:txXfrm>
        <a:off x="1930854" y="487980"/>
        <a:ext cx="923403" cy="219961"/>
      </dsp:txXfrm>
    </dsp:sp>
    <dsp:sp modelId="{B78AF44F-B2CF-4F9C-A9FE-9C65EE4185B4}">
      <dsp:nvSpPr>
        <dsp:cNvPr id="0" name=""/>
        <dsp:cNvSpPr/>
      </dsp:nvSpPr>
      <dsp:spPr>
        <a:xfrm>
          <a:off x="1729976" y="607619"/>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3225F042-850A-4C33-9BC6-7278DEA26CD4}">
      <dsp:nvSpPr>
        <dsp:cNvPr id="0" name=""/>
        <dsp:cNvSpPr/>
      </dsp:nvSpPr>
      <dsp:spPr>
        <a:xfrm rot="5400000">
          <a:off x="1532301" y="633987"/>
          <a:ext cx="223687" cy="170804"/>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CCB0799-DA2E-4325-8CF5-2558C49673C8}">
      <dsp:nvSpPr>
        <dsp:cNvPr id="0" name=""/>
        <dsp:cNvSpPr/>
      </dsp:nvSpPr>
      <dsp:spPr>
        <a:xfrm>
          <a:off x="2218866" y="160375"/>
          <a:ext cx="422162" cy="422162"/>
        </a:xfrm>
        <a:prstGeom prst="ellipse">
          <a:avLst/>
        </a:prstGeom>
        <a:solidFill>
          <a:srgbClr val="16A085"/>
        </a:solidFill>
        <a:ln w="25400" cap="flat" cmpd="sng" algn="ctr">
          <a:solidFill>
            <a:sysClr val="window" lastClr="FFFFFF">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en-US" sz="1600" kern="1200" dirty="0">
              <a:solidFill>
                <a:sysClr val="window" lastClr="FFFFFF"/>
              </a:solidFill>
              <a:latin typeface="Calibri"/>
              <a:ea typeface="+mn-ea"/>
              <a:cs typeface="+mn-cs"/>
            </a:rPr>
            <a:t>1</a:t>
          </a:r>
        </a:p>
      </dsp:txBody>
      <dsp:txXfrm>
        <a:off x="2280690" y="222199"/>
        <a:ext cx="298514" cy="298514"/>
      </dsp:txXfrm>
    </dsp:sp>
    <dsp:sp modelId="{9836CC64-BFC5-49F3-ACB5-1A129FF2FEE1}">
      <dsp:nvSpPr>
        <dsp:cNvPr id="0" name=""/>
        <dsp:cNvSpPr/>
      </dsp:nvSpPr>
      <dsp:spPr>
        <a:xfrm rot="2595471">
          <a:off x="2822104" y="543216"/>
          <a:ext cx="341392" cy="250955"/>
        </a:xfrm>
        <a:prstGeom prst="rightArrow">
          <a:avLst>
            <a:gd name="adj1" fmla="val 60000"/>
            <a:gd name="adj2" fmla="val 50000"/>
          </a:avLst>
        </a:prstGeom>
        <a:solidFill>
          <a:srgbClr val="16A085">
            <a:hueOff val="0"/>
            <a:satOff val="0"/>
            <a:lumOff val="0"/>
            <a:alphaOff val="0"/>
          </a:srgb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en-US" sz="1000" kern="1200">
            <a:solidFill>
              <a:sysClr val="window" lastClr="FFFFFF"/>
            </a:solidFill>
            <a:latin typeface="Calibri"/>
            <a:ea typeface="+mn-ea"/>
            <a:cs typeface="+mn-cs"/>
          </a:endParaRPr>
        </a:p>
      </dsp:txBody>
      <dsp:txXfrm>
        <a:off x="2832332" y="567611"/>
        <a:ext cx="266106" cy="150573"/>
      </dsp:txXfrm>
    </dsp:sp>
    <dsp:sp modelId="{C8B5CB75-9FC9-47FA-902B-37FC7C608991}">
      <dsp:nvSpPr>
        <dsp:cNvPr id="0" name=""/>
        <dsp:cNvSpPr/>
      </dsp:nvSpPr>
      <dsp:spPr>
        <a:xfrm>
          <a:off x="3122641" y="1010794"/>
          <a:ext cx="422162" cy="422162"/>
        </a:xfrm>
        <a:prstGeom prst="ellipse">
          <a:avLst/>
        </a:prstGeom>
        <a:solidFill>
          <a:srgbClr val="9BBB59"/>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2</a:t>
          </a:r>
        </a:p>
      </dsp:txBody>
      <dsp:txXfrm>
        <a:off x="3184465" y="1072618"/>
        <a:ext cx="298514" cy="298514"/>
      </dsp:txXfrm>
    </dsp:sp>
    <dsp:sp modelId="{D28560A6-F9EE-446B-9448-42DDAED067F4}">
      <dsp:nvSpPr>
        <dsp:cNvPr id="0" name=""/>
        <dsp:cNvSpPr/>
      </dsp:nvSpPr>
      <dsp:spPr>
        <a:xfrm rot="6821988">
          <a:off x="3048634" y="1514488"/>
          <a:ext cx="293815" cy="290761"/>
        </a:xfrm>
        <a:prstGeom prst="rightArrow">
          <a:avLst>
            <a:gd name="adj1" fmla="val 60000"/>
            <a:gd name="adj2" fmla="val 50000"/>
          </a:avLst>
        </a:prstGeom>
        <a:solidFill>
          <a:srgbClr val="9BBB59"/>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a:p>
      </dsp:txBody>
      <dsp:txXfrm rot="10800000">
        <a:off x="3109778" y="1532704"/>
        <a:ext cx="206587" cy="174457"/>
      </dsp:txXfrm>
    </dsp:sp>
    <dsp:sp modelId="{4376FDA7-43F6-46A0-84E2-6BF69C6C3A76}">
      <dsp:nvSpPr>
        <dsp:cNvPr id="0" name=""/>
        <dsp:cNvSpPr/>
      </dsp:nvSpPr>
      <dsp:spPr>
        <a:xfrm>
          <a:off x="2761734" y="1832971"/>
          <a:ext cx="422162" cy="422162"/>
        </a:xfrm>
        <a:prstGeom prst="ellipse">
          <a:avLst/>
        </a:prstGeom>
        <a:solidFill>
          <a:srgbClr val="F39C1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3</a:t>
          </a:r>
        </a:p>
      </dsp:txBody>
      <dsp:txXfrm>
        <a:off x="2823558" y="1894795"/>
        <a:ext cx="298514" cy="298514"/>
      </dsp:txXfrm>
    </dsp:sp>
    <dsp:sp modelId="{177417AC-99A3-406D-B5C9-27F4FFF13617}">
      <dsp:nvSpPr>
        <dsp:cNvPr id="0" name=""/>
        <dsp:cNvSpPr/>
      </dsp:nvSpPr>
      <dsp:spPr>
        <a:xfrm rot="10756872" flipV="1">
          <a:off x="2288292" y="2003593"/>
          <a:ext cx="304718" cy="250955"/>
        </a:xfrm>
        <a:prstGeom prst="rightArrow">
          <a:avLst>
            <a:gd name="adj1" fmla="val 60000"/>
            <a:gd name="adj2" fmla="val 50000"/>
          </a:avLst>
        </a:prstGeom>
        <a:solidFill>
          <a:srgbClr val="F39C12"/>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dirty="0"/>
        </a:p>
      </dsp:txBody>
      <dsp:txXfrm rot="10800000">
        <a:off x="2363575" y="2053312"/>
        <a:ext cx="229432" cy="150573"/>
      </dsp:txXfrm>
    </dsp:sp>
    <dsp:sp modelId="{14E061F7-154C-42F3-9830-5452A047FE6D}">
      <dsp:nvSpPr>
        <dsp:cNvPr id="0" name=""/>
        <dsp:cNvSpPr/>
      </dsp:nvSpPr>
      <dsp:spPr>
        <a:xfrm>
          <a:off x="1666740" y="1815453"/>
          <a:ext cx="422162" cy="422162"/>
        </a:xfrm>
        <a:prstGeom prst="ellipse">
          <a:avLst/>
        </a:prstGeom>
        <a:solidFill>
          <a:srgbClr val="C0392B"/>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4</a:t>
          </a:r>
        </a:p>
      </dsp:txBody>
      <dsp:txXfrm>
        <a:off x="1728564" y="1877277"/>
        <a:ext cx="298514" cy="298514"/>
      </dsp:txXfrm>
    </dsp:sp>
    <dsp:sp modelId="{B48379EE-566D-4B1F-9CD5-04F047E30425}">
      <dsp:nvSpPr>
        <dsp:cNvPr id="0" name=""/>
        <dsp:cNvSpPr/>
      </dsp:nvSpPr>
      <dsp:spPr>
        <a:xfrm rot="14096934">
          <a:off x="1332909" y="1484921"/>
          <a:ext cx="372438" cy="262130"/>
        </a:xfrm>
        <a:prstGeom prst="rightArrow">
          <a:avLst>
            <a:gd name="adj1" fmla="val 60000"/>
            <a:gd name="adj2" fmla="val 50000"/>
          </a:avLst>
        </a:prstGeom>
        <a:solidFill>
          <a:srgbClr val="C0392B"/>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a:p>
      </dsp:txBody>
      <dsp:txXfrm rot="10800000">
        <a:off x="1394810" y="1569536"/>
        <a:ext cx="293799" cy="157278"/>
      </dsp:txXfrm>
    </dsp:sp>
    <dsp:sp modelId="{9FF98F62-CE9C-4645-95F9-F705B901AD7E}">
      <dsp:nvSpPr>
        <dsp:cNvPr id="0" name=""/>
        <dsp:cNvSpPr/>
      </dsp:nvSpPr>
      <dsp:spPr>
        <a:xfrm>
          <a:off x="1062777" y="954540"/>
          <a:ext cx="422162" cy="422162"/>
        </a:xfrm>
        <a:prstGeom prst="ellipse">
          <a:avLst/>
        </a:prstGeom>
        <a:solidFill>
          <a:srgbClr val="7030A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5</a:t>
          </a:r>
        </a:p>
      </dsp:txBody>
      <dsp:txXfrm>
        <a:off x="1124601" y="1016364"/>
        <a:ext cx="298514" cy="298514"/>
      </dsp:txXfrm>
    </dsp:sp>
    <dsp:sp modelId="{6E579A13-DDFA-4D23-9E55-EBC23857FA8B}">
      <dsp:nvSpPr>
        <dsp:cNvPr id="0" name=""/>
        <dsp:cNvSpPr/>
      </dsp:nvSpPr>
      <dsp:spPr>
        <a:xfrm rot="19530793">
          <a:off x="1530701" y="500101"/>
          <a:ext cx="448928" cy="251188"/>
        </a:xfrm>
        <a:prstGeom prst="rightArrow">
          <a:avLst>
            <a:gd name="adj1" fmla="val 60000"/>
            <a:gd name="adj2" fmla="val 50000"/>
          </a:avLst>
        </a:prstGeom>
        <a:solidFill>
          <a:srgbClr val="7030A0"/>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a:p>
      </dsp:txBody>
      <dsp:txXfrm>
        <a:off x="1537323" y="571673"/>
        <a:ext cx="373572" cy="150712"/>
      </dsp:txXfrm>
    </dsp:sp>
  </dsp:spTree>
</dsp:drawing>
</file>

<file path=xl/diagrams/layout1.xml><?xml version="1.0" encoding="utf-8"?>
<dgm:layoutDef xmlns:dgm="http://schemas.openxmlformats.org/drawingml/2006/diagram" xmlns:a="http://schemas.openxmlformats.org/drawingml/2006/main" uniqueId="urn:microsoft.com/office/officeart/2005/8/layout/target1">
  <dgm:title val=""/>
  <dgm:desc val=""/>
  <dgm:catLst>
    <dgm:cat type="relationship" pri="25000"/>
    <dgm:cat type="convert" pri="20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ite">
    <dgm:varLst>
      <dgm:chMax val="5"/>
      <dgm:dir/>
      <dgm:resizeHandles val="exact"/>
    </dgm:varLst>
    <dgm:alg type="composite">
      <dgm:param type="ar" val="1.25"/>
    </dgm:alg>
    <dgm:shape xmlns:r="http://schemas.openxmlformats.org/officeDocument/2006/relationships" r:blip="">
      <dgm:adjLst/>
    </dgm:shape>
    <dgm:presOf/>
    <dgm:choose name="Name0">
      <dgm:if name="Name1" func="var" arg="dir" op="equ" val="norm">
        <dgm:choose name="Name2">
          <dgm:if name="Name3" axis="ch" ptType="node" func="cnt" op="equ" val="0">
            <dgm:constrLst/>
          </dgm:if>
          <dgm:if name="Name4" axis="ch" ptType="node" func="cnt" op="equ" val="1">
            <dgm:constrLst>
              <dgm:constr type="primFontSz" for="des" ptType="node" op="equ" val="65"/>
              <dgm:constr type="w" for="ch" forName="circle1" refType="w" fact="0.6"/>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3125"/>
              <dgm:constr type="r" for="ch" forName="text1" refType="w"/>
              <dgm:constr type="t" for="ch" forName="text1"/>
              <dgm:constr type="l" for="ch" forName="line1" refType="w" fact="0.625"/>
              <dgm:constr type="ctrY" for="ch" forName="line1" refType="ctrY" refFor="ch" refForName="text1"/>
              <dgm:constr type="r" for="ch" forName="line1" refType="l" refFor="ch" refForName="text1"/>
              <dgm:constr type="h" for="ch" forName="line1"/>
              <dgm:constr type="l" for="ch" forName="d1" refType="w" fact="0.3"/>
              <dgm:constr type="b" for="ch" forName="d1" refType="h" fact="0.625"/>
              <dgm:constr type="w" for="ch" forName="d1" refType="w" fact="0.32475"/>
              <dgm:constr type="h" for="ch" forName="d1" refType="h" fact="0.469"/>
            </dgm:constrLst>
          </dgm:if>
          <dgm:if name="Name5" axis="ch" ptType="node" func="cnt" op="equ" val="2">
            <dgm:constrLst>
              <dgm:constr type="primFontSz" for="des" ptType="node" op="equ" val="65"/>
              <dgm:constr type="w" for="ch" forName="circle1" refType="w" fact="0.2"/>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3125"/>
              <dgm:constr type="r" for="ch" forName="text1" refType="w"/>
              <dgm:constr type="t" for="ch" forName="text1"/>
              <dgm:constr type="l" for="ch" forName="line1" refType="w" fact="0.625"/>
              <dgm:constr type="ctrY" for="ch" forName="line1" refType="ctrY" refFor="ch" refForName="text1"/>
              <dgm:constr type="w" for="ch" forName="line1" refType="w" fact="0.075"/>
              <dgm:constr type="h" for="ch" forName="line1"/>
              <dgm:constr type="l" for="ch" forName="d1" refType="w" fact="0.3"/>
              <dgm:constr type="b" for="ch" forName="d1" refType="h" fact="0.625"/>
              <dgm:constr type="w" for="ch" forName="d1" refType="w" fact="0.32475"/>
              <dgm:constr type="h" for="ch" forName="d1" refType="h" fact="0.469"/>
              <dgm:constr type="w" for="ch" forName="circle2" refType="w" fact="0.6"/>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3125"/>
              <dgm:constr type="r" for="ch" forName="text2" refType="w"/>
              <dgm:constr type="t" for="ch" forName="text2" refType="b" refFor="ch" refForName="text1"/>
              <dgm:constr type="l" for="ch" forName="line2" refType="w" fact="0.625"/>
              <dgm:constr type="ctrY" for="ch" forName="line2" refType="ctrY" refFor="ch" refForName="text2"/>
              <dgm:constr type="w" for="ch" forName="line2" refType="w" fact="0.075"/>
              <dgm:constr type="h" for="ch" forName="line2"/>
              <dgm:constr type="l" for="ch" forName="d2" refType="w" fact="0.44325"/>
              <dgm:constr type="b" for="ch" forName="d2" refType="h" fact="0.7975"/>
              <dgm:constr type="w" for="ch" forName="d2" refType="w" fact="0.1815"/>
              <dgm:constr type="h" for="ch" forName="d2" refType="h" fact="0.3283"/>
            </dgm:constrLst>
          </dgm:if>
          <dgm:if name="Name6" axis="ch" ptType="node" func="cnt" op="equ" val="3">
            <dgm:constrLst>
              <dgm:constr type="primFontSz" for="des" ptType="node" op="equ" val="65"/>
              <dgm:constr type="w" for="ch" forName="circle1" refType="w" fact="0.12"/>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21875"/>
              <dgm:constr type="r" for="ch" forName="text1" refType="w"/>
              <dgm:constr type="t" for="ch" forName="text1"/>
              <dgm:constr type="l" for="ch" forName="line1" refType="w" fact="0.625"/>
              <dgm:constr type="ctrY" for="ch" forName="line1" refType="ctrY" refFor="ch" refForName="text1"/>
              <dgm:constr type="w" for="ch" forName="line1" refType="w" fact="0.075"/>
              <dgm:constr type="h" for="ch" forName="line1"/>
              <dgm:constr type="l" for="ch" forName="d1" refType="w" fact="0.3"/>
              <dgm:constr type="b" for="ch" forName="d1" refType="h" fact="0.625"/>
              <dgm:constr type="w" for="ch" forName="d1" refType="w" fact="0.3247"/>
              <dgm:constr type="h" for="ch" forName="d1" refType="h" fact="0.5155"/>
              <dgm:constr type="w" for="ch" forName="circle2" refType="w" fact="0.36"/>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21875"/>
              <dgm:constr type="r" for="ch" forName="text2" refType="w"/>
              <dgm:constr type="t" for="ch" forName="text2" refType="b" refFor="ch" refForName="text1"/>
              <dgm:constr type="l" for="ch" forName="line2" refType="w" fact="0.625"/>
              <dgm:constr type="ctrY" for="ch" forName="line2" refType="ctrY" refFor="ch" refForName="text2"/>
              <dgm:constr type="w" for="ch" forName="line2" refType="w" fact="0.075"/>
              <dgm:constr type="h" for="ch" forName="line2"/>
              <dgm:constr type="l" for="ch" forName="d2" refType="w" fact="0.386"/>
              <dgm:constr type="b" for="ch" forName="d2" refType="h" fact="0.72969"/>
              <dgm:constr type="w" for="ch" forName="d2" refType="w" fact="0.2387"/>
              <dgm:constr type="h" for="ch" forName="d2" refType="h" fact="0.4017"/>
              <dgm:constr type="w" for="ch" forName="circle3" refType="w" fact="0.6"/>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21875"/>
              <dgm:constr type="r" for="ch" forName="text3" refType="w"/>
              <dgm:constr type="t" for="ch" forName="text3" refType="b" refFor="ch" refForName="text2"/>
              <dgm:constr type="l" for="ch" forName="line3" refType="w" fact="0.625"/>
              <dgm:constr type="ctrY" for="ch" forName="line3" refType="ctrY" refFor="ch" refForName="text3"/>
              <dgm:constr type="w" for="ch" forName="line3" refType="w" fact="0.075"/>
              <dgm:constr type="h" for="ch" forName="line3"/>
              <dgm:constr type="l" for="ch" forName="d3" refType="w" fact="0.47175"/>
              <dgm:constr type="b" for="ch" forName="d3" refType="h" fact="0.83375"/>
              <dgm:constr type="w" for="ch" forName="d3" refType="w" fact="0.1527"/>
              <dgm:constr type="h" for="ch" forName="d3" refType="h" fact="0.287"/>
            </dgm:constrLst>
          </dgm:if>
          <dgm:if name="Name7" axis="ch" ptType="node" func="cnt" op="equ" val="4">
            <dgm:constrLst>
              <dgm:constr type="primFontSz" for="des" ptType="node" op="equ" val="65"/>
              <dgm:constr type="w" for="ch" forName="circle1" refType="w" fact="0.0857"/>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17938"/>
              <dgm:constr type="r" for="ch" forName="text1" refType="w"/>
              <dgm:constr type="t" for="ch" forName="text1"/>
              <dgm:constr type="l" for="ch" forName="line1" refType="w" fact="0.625"/>
              <dgm:constr type="ctrY" for="ch" forName="line1" refType="ctrY" refFor="ch" refForName="text1"/>
              <dgm:constr type="w" for="ch" forName="line1" refType="w" fact="0.075"/>
              <dgm:constr type="h" for="ch" forName="line1"/>
              <dgm:constr type="l" for="ch" forName="d1" refType="w" fact="0.295"/>
              <dgm:constr type="b" for="ch" forName="d1" refType="h" fact="0.62"/>
              <dgm:constr type="w" for="ch" forName="d1" refType="w" fact="0.33"/>
              <dgm:constr type="h" for="ch" forName="d1" refType="h" fact="0.53"/>
              <dgm:constr type="w" for="ch" forName="circle2" refType="w" fact="0.2571"/>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17938"/>
              <dgm:constr type="r" for="ch" forName="text2" refType="w"/>
              <dgm:constr type="t" for="ch" forName="text2" refType="b" refFor="ch" refForName="text1"/>
              <dgm:constr type="l" for="ch" forName="line2" refType="w" fact="0.625"/>
              <dgm:constr type="ctrY" for="ch" forName="line2" refType="ctrY" refFor="ch" refForName="text2"/>
              <dgm:constr type="w" for="ch" forName="line2" refType="w" fact="0.075"/>
              <dgm:constr type="h" for="ch" forName="line2"/>
              <dgm:constr type="l" for="ch" forName="d2" refType="w" fact="0.36625"/>
              <dgm:constr type="b" for="ch" forName="d2" refType="h" fact="0.70438"/>
              <dgm:constr type="w" for="ch" forName="d2" refType="w" fact="0.2585"/>
              <dgm:constr type="h" for="ch" forName="d2" refType="h" fact="0.43525"/>
              <dgm:constr type="w" for="ch" forName="circle3" refType="w" fact="0.4285"/>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7938"/>
              <dgm:constr type="r" for="ch" forName="text3" refType="w"/>
              <dgm:constr type="t" for="ch" forName="text3" refType="b" refFor="ch" refForName="text2"/>
              <dgm:constr type="l" for="ch" forName="line3" refType="w" fact="0.625"/>
              <dgm:constr type="ctrY" for="ch" forName="line3" refType="ctrY" refFor="ch" refForName="text3"/>
              <dgm:constr type="w" for="ch" forName="line3" refType="w" fact="0.075"/>
              <dgm:constr type="h" for="ch" forName="line3"/>
              <dgm:constr type="l" for="ch" forName="d3" refType="w" fact="0.4255"/>
              <dgm:constr type="b" for="ch" forName="d3" refType="h" fact="0.78031"/>
              <dgm:constr type="w" for="ch" forName="d3" refType="w" fact="0.1995"/>
              <dgm:constr type="h" for="ch" forName="d3" refType="h" fact="0.332"/>
              <dgm:constr type="w" for="ch" forName="circle4" refType="w" fact="0.6"/>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7938"/>
              <dgm:constr type="r" for="ch" forName="text4" refType="w"/>
              <dgm:constr type="t" for="ch" forName="text4" refType="b" refFor="ch" refForName="text3"/>
              <dgm:constr type="l" for="ch" forName="line4" refType="w" fact="0.625"/>
              <dgm:constr type="ctrY" for="ch" forName="line4" refType="ctrY" refFor="ch" refForName="text4"/>
              <dgm:constr type="w" for="ch" forName="line4" refType="w" fact="0.075"/>
              <dgm:constr type="h" for="ch" forName="line4"/>
              <dgm:constr type="l" for="ch" forName="d4" refType="w" fact="0.48525"/>
              <dgm:constr type="b" for="ch" forName="d4" refType="h" fact="0.85594"/>
              <dgm:constr type="w" for="ch" forName="d4" refType="w" fact="0.1394"/>
              <dgm:constr type="h" for="ch" forName="d4" refType="h" fact="0.2282"/>
            </dgm:constrLst>
          </dgm:if>
          <dgm:if name="Name8" axis="ch" ptType="node" func="cnt" op="gte" val="5">
            <dgm:constrLst>
              <dgm:constr type="primFontSz" for="des" ptType="node" op="equ" val="65"/>
              <dgm:constr type="w" for="ch" forName="circle1" refType="w" fact="0.0667"/>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1324"/>
              <dgm:constr type="r" for="ch" forName="text1" refType="w"/>
              <dgm:constr type="ctrY" for="ch" forName="text1" refType="h" fact="0.13"/>
              <dgm:constr type="l" for="ch" forName="line1" refType="w" fact="0.625"/>
              <dgm:constr type="ctrY" for="ch" forName="line1" refType="ctrY" refFor="ch" refForName="text1"/>
              <dgm:constr type="w" for="ch" forName="line1" refType="w" fact="0.075"/>
              <dgm:constr type="h" for="ch" forName="line1"/>
              <dgm:constr type="l" for="ch" forName="d1" refType="w" fact="0.3"/>
              <dgm:constr type="b" for="ch" forName="d1" refType="h" fact="0.625"/>
              <dgm:constr type="w" for="ch" forName="d1" refType="w" fact="0.3245"/>
              <dgm:constr type="h" for="ch" forName="d1" refType="h" fact="0.495"/>
              <dgm:constr type="w" for="ch" forName="circle2" refType="w" fact="0.2"/>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1324"/>
              <dgm:constr type="r" for="ch" forName="text2" refType="w"/>
              <dgm:constr type="ctrY" for="ch" forName="text2" refType="h" fact="0.27"/>
              <dgm:constr type="l" for="ch" forName="line2" refType="w" fact="0.625"/>
              <dgm:constr type="ctrY" for="ch" forName="line2" refType="ctrY" refFor="ch" refForName="text2"/>
              <dgm:constr type="w" for="ch" forName="line2" refType="w" fact="0.075"/>
              <dgm:constr type="h" for="ch" forName="line2"/>
              <dgm:constr type="l" for="ch" forName="d2" refType="w" fact="0.3498"/>
              <dgm:constr type="b" for="ch" forName="d2" refType="h" fact="0.682"/>
              <dgm:constr type="w" for="ch" forName="d2" refType="w" fact="0.275"/>
              <dgm:constr type="h" for="ch" forName="d2" refType="h" fact="0.41215"/>
              <dgm:constr type="w" for="ch" forName="circle3" refType="w" fact="0.3334"/>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324"/>
              <dgm:constr type="r" for="ch" forName="text3" refType="w"/>
              <dgm:constr type="ctrY" for="ch" forName="text3" refType="h" fact="0.41"/>
              <dgm:constr type="l" for="ch" forName="line3" refType="w" fact="0.625"/>
              <dgm:constr type="ctrY" for="ch" forName="line3" refType="ctrY" refFor="ch" refForName="text3"/>
              <dgm:constr type="w" for="ch" forName="line3" refType="w" fact="0.075"/>
              <dgm:constr type="h" for="ch" forName="line3"/>
              <dgm:constr type="l" for="ch" forName="d3" refType="w" fact="0.394"/>
              <dgm:constr type="b" for="ch" forName="d3" refType="h" fact="0.735"/>
              <dgm:constr type="w" for="ch" forName="d3" refType="w" fact="0.231"/>
              <dgm:constr type="h" for="ch" forName="d3" refType="h" fact="0.325"/>
              <dgm:constr type="w" for="ch" forName="circle4" refType="w" fact="0.4667"/>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324"/>
              <dgm:constr type="r" for="ch" forName="text4" refType="w"/>
              <dgm:constr type="ctrY" for="ch" forName="text4" refType="h" fact="0.547"/>
              <dgm:constr type="l" for="ch" forName="line4" refType="w" fact="0.625"/>
              <dgm:constr type="ctrY" for="ch" forName="line4" refType="ctrY" refFor="ch" refForName="text4"/>
              <dgm:constr type="w" for="ch" forName="line4" refType="w" fact="0.075"/>
              <dgm:constr type="h" for="ch" forName="line4"/>
              <dgm:constr type="l" for="ch" forName="d4" refType="w" fact="0.446"/>
              <dgm:constr type="b" for="ch" forName="d4" refType="h" fact="0.795"/>
              <dgm:constr type="w" for="ch" forName="d4" refType="w" fact="0.179"/>
              <dgm:constr type="h" for="ch" forName="d4" refType="h" fact="0.248"/>
              <dgm:constr type="w" for="ch" forName="circle5" refType="w" fact="0.6"/>
              <dgm:constr type="h" for="ch" forName="circle5" refType="w" refFor="ch" refForName="circle5"/>
              <dgm:constr type="ctrX" for="ch" forName="circle5" refType="ctrX" refFor="ch" refForName="circle1"/>
              <dgm:constr type="ctrY" for="ch" forName="circle5" refType="ctrY" refFor="ch" refForName="circle1"/>
              <dgm:constr type="w" for="ch" forName="text5" refType="w" fact="0.3"/>
              <dgm:constr type="h" for="ch" forName="text5" refType="h" fact="0.1324"/>
              <dgm:constr type="r" for="ch" forName="text5" refType="w"/>
              <dgm:constr type="ctrY" for="ch" forName="text5" refType="h" fact="0.68"/>
              <dgm:constr type="l" for="ch" forName="line5" refType="w" fact="0.625"/>
              <dgm:constr type="ctrY" for="ch" forName="line5" refType="ctrY" refFor="ch" refForName="text5"/>
              <dgm:constr type="w" for="ch" forName="line5" refType="w" fact="0.075"/>
              <dgm:constr type="h" for="ch" forName="line5"/>
              <dgm:constr type="l" for="ch" forName="d5" refType="w" fact="0.495"/>
              <dgm:constr type="b" for="ch" forName="d5" refType="h" fact="0.855"/>
              <dgm:constr type="w" for="ch" forName="d5" refType="w" fact="0.13"/>
              <dgm:constr type="h" for="ch" forName="d5" refType="h" fact="0.175"/>
            </dgm:constrLst>
          </dgm:if>
          <dgm:else name="Name9"/>
        </dgm:choose>
      </dgm:if>
      <dgm:else name="Name10">
        <dgm:choose name="Name11">
          <dgm:if name="Name12" axis="ch" ptType="node" func="cnt" op="equ" val="0">
            <dgm:constrLst/>
          </dgm:if>
          <dgm:if name="Name13" axis="ch" ptType="node" func="cnt" op="equ" val="1">
            <dgm:constrLst>
              <dgm:constr type="primFontSz" for="des" ptType="node" op="equ" val="65"/>
              <dgm:constr type="w" for="ch" forName="circle1" refType="w" fact="0.6"/>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3125"/>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75"/>
              <dgm:constr type="h" for="ch" forName="d1" refType="h" fact="0.469"/>
            </dgm:constrLst>
          </dgm:if>
          <dgm:if name="Name14" axis="ch" ptType="node" func="cnt" op="equ" val="2">
            <dgm:constrLst>
              <dgm:constr type="primFontSz" for="des" ptType="node" op="equ" val="65"/>
              <dgm:constr type="w" for="ch" forName="circle1" refType="w" fact="0.2"/>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3125"/>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75"/>
              <dgm:constr type="h" for="ch" forName="d1" refType="h" fact="0.469"/>
              <dgm:constr type="w" for="ch" forName="circle2" refType="w" fact="0.6"/>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3125"/>
              <dgm:constr type="l" for="ch" forName="text2"/>
              <dgm:constr type="t" for="ch" forName="text2" refType="b" refFor="ch" refForName="text1"/>
              <dgm:constr type="l" for="ch" forName="line2" refType="r" refFor="ch" refForName="text2"/>
              <dgm:constr type="ctrY" for="ch" forName="line2" refType="ctrY" refFor="ch" refForName="text2"/>
              <dgm:constr type="r" for="ch" forName="line2" refType="w" fact="0.375"/>
              <dgm:constr type="h" for="ch" forName="line2"/>
              <dgm:constr type="r" for="ch" forName="d2" refType="w" fact="0.55675"/>
              <dgm:constr type="b" for="ch" forName="d2" refType="h" fact="0.7975"/>
              <dgm:constr type="w" for="ch" forName="d2" refType="w" fact="0.1815"/>
              <dgm:constr type="h" for="ch" forName="d2" refType="h" fact="0.3283"/>
            </dgm:constrLst>
          </dgm:if>
          <dgm:if name="Name15" axis="ch" ptType="node" func="cnt" op="equ" val="3">
            <dgm:constrLst>
              <dgm:constr type="primFontSz" for="des" ptType="node" op="equ" val="65"/>
              <dgm:constr type="w" for="ch" forName="circle1" refType="w" fact="0.12"/>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21875"/>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7"/>
              <dgm:constr type="h" for="ch" forName="d1" refType="h" fact="0.5155"/>
              <dgm:constr type="w" for="ch" forName="circle2" refType="w" fact="0.36"/>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21875"/>
              <dgm:constr type="l" for="ch" forName="text2"/>
              <dgm:constr type="t" for="ch" forName="text2" refType="b" refFor="ch" refForName="text1"/>
              <dgm:constr type="l" for="ch" forName="line2" refType="r" refFor="ch" refForName="text2"/>
              <dgm:constr type="ctrY" for="ch" forName="line2" refType="ctrY" refFor="ch" refForName="text2"/>
              <dgm:constr type="r" for="ch" forName="line2" refType="w" fact="0.375"/>
              <dgm:constr type="h" for="ch" forName="line2"/>
              <dgm:constr type="r" for="ch" forName="d2" refType="w" fact="0.614"/>
              <dgm:constr type="b" for="ch" forName="d2" refType="h" fact="0.72969"/>
              <dgm:constr type="w" for="ch" forName="d2" refType="w" fact="0.2387"/>
              <dgm:constr type="h" for="ch" forName="d2" refType="h" fact="0.4017"/>
              <dgm:constr type="w" for="ch" forName="circle3" refType="w" fact="0.6"/>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21875"/>
              <dgm:constr type="l" for="ch" forName="text3"/>
              <dgm:constr type="t" for="ch" forName="text3" refType="b" refFor="ch" refForName="text2"/>
              <dgm:constr type="l" for="ch" forName="line3" refType="r" refFor="ch" refForName="text3"/>
              <dgm:constr type="ctrY" for="ch" forName="line3" refType="ctrY" refFor="ch" refForName="text3"/>
              <dgm:constr type="r" for="ch" forName="line3" refType="w" fact="0.375"/>
              <dgm:constr type="h" for="ch" forName="line3"/>
              <dgm:constr type="r" for="ch" forName="d3" refType="w" fact="0.52825"/>
              <dgm:constr type="b" for="ch" forName="d3" refType="h" fact="0.83375"/>
              <dgm:constr type="w" for="ch" forName="d3" refType="w" fact="0.1527"/>
              <dgm:constr type="h" for="ch" forName="d3" refType="h" fact="0.287"/>
            </dgm:constrLst>
          </dgm:if>
          <dgm:if name="Name16" axis="ch" ptType="node" func="cnt" op="equ" val="4">
            <dgm:constrLst>
              <dgm:constr type="primFontSz" for="des" ptType="node" op="equ" val="65"/>
              <dgm:constr type="w" for="ch" forName="circle1" refType="w" fact="0.0857"/>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17938"/>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05"/>
              <dgm:constr type="b" for="ch" forName="d1" refType="h" fact="0.62"/>
              <dgm:constr type="w" for="ch" forName="d1" refType="w" fact="0.33"/>
              <dgm:constr type="h" for="ch" forName="d1" refType="h" fact="0.53"/>
              <dgm:constr type="w" for="ch" forName="circle2" refType="w" fact="0.2571"/>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17938"/>
              <dgm:constr type="l" for="ch" forName="text2"/>
              <dgm:constr type="t" for="ch" forName="text2" refType="b" refFor="ch" refForName="text1"/>
              <dgm:constr type="l" for="ch" forName="line2" refType="r" refFor="ch" refForName="text2"/>
              <dgm:constr type="ctrY" for="ch" forName="line2" refType="ctrY" refFor="ch" refForName="text2"/>
              <dgm:constr type="r" for="ch" forName="line2" refType="w" fact="0.375"/>
              <dgm:constr type="h" for="ch" forName="line2"/>
              <dgm:constr type="r" for="ch" forName="d2" refType="w" fact="0.63375"/>
              <dgm:constr type="b" for="ch" forName="d2" refType="h" fact="0.70438"/>
              <dgm:constr type="w" for="ch" forName="d2" refType="w" fact="0.2585"/>
              <dgm:constr type="h" for="ch" forName="d2" refType="h" fact="0.43525"/>
              <dgm:constr type="w" for="ch" forName="circle3" refType="w" fact="0.4285"/>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7938"/>
              <dgm:constr type="l" for="ch" forName="text3"/>
              <dgm:constr type="t" for="ch" forName="text3" refType="b" refFor="ch" refForName="text2"/>
              <dgm:constr type="l" for="ch" forName="line3" refType="r" refFor="ch" refForName="text3"/>
              <dgm:constr type="ctrY" for="ch" forName="line3" refType="ctrY" refFor="ch" refForName="text3"/>
              <dgm:constr type="r" for="ch" forName="line3" refType="w" fact="0.375"/>
              <dgm:constr type="h" for="ch" forName="line3"/>
              <dgm:constr type="r" for="ch" forName="d3" refType="w" fact="0.5745"/>
              <dgm:constr type="b" for="ch" forName="d3" refType="h" fact="0.78031"/>
              <dgm:constr type="w" for="ch" forName="d3" refType="w" fact="0.1995"/>
              <dgm:constr type="h" for="ch" forName="d3" refType="h" fact="0.332"/>
              <dgm:constr type="w" for="ch" forName="circle4" refType="w" fact="0.6"/>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7938"/>
              <dgm:constr type="l" for="ch" forName="text4"/>
              <dgm:constr type="t" for="ch" forName="text4" refType="b" refFor="ch" refForName="text3"/>
              <dgm:constr type="l" for="ch" forName="line4" refType="r" refFor="ch" refForName="text4"/>
              <dgm:constr type="ctrY" for="ch" forName="line4" refType="ctrY" refFor="ch" refForName="text4"/>
              <dgm:constr type="r" for="ch" forName="line4" refType="w" fact="0.375"/>
              <dgm:constr type="h" for="ch" forName="line4"/>
              <dgm:constr type="r" for="ch" forName="d4" refType="w" fact="0.51475"/>
              <dgm:constr type="b" for="ch" forName="d4" refType="h" fact="0.85594"/>
              <dgm:constr type="w" for="ch" forName="d4" refType="w" fact="0.1394"/>
              <dgm:constr type="h" for="ch" forName="d4" refType="h" fact="0.2282"/>
            </dgm:constrLst>
          </dgm:if>
          <dgm:if name="Name17" axis="ch" ptType="node" func="cnt" op="gte" val="5">
            <dgm:constrLst>
              <dgm:constr type="primFontSz" for="des" ptType="node" op="equ" val="65"/>
              <dgm:constr type="w" for="ch" forName="circle1" refType="w" fact="0.0667"/>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1324"/>
              <dgm:constr type="l" for="ch" forName="text1"/>
              <dgm:constr type="ctrY" for="ch" forName="text1" refType="h" fact="0.13"/>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5"/>
              <dgm:constr type="h" for="ch" forName="d1" refType="h" fact="0.495"/>
              <dgm:constr type="w" for="ch" forName="circle2" refType="w" fact="0.2"/>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1324"/>
              <dgm:constr type="l" for="ch" forName="text2"/>
              <dgm:constr type="ctrY" for="ch" forName="text2" refType="h" fact="0.27"/>
              <dgm:constr type="l" for="ch" forName="line2" refType="r" refFor="ch" refForName="text2"/>
              <dgm:constr type="ctrY" for="ch" forName="line2" refType="ctrY" refFor="ch" refForName="text2"/>
              <dgm:constr type="r" for="ch" forName="line2" refType="w" fact="0.375"/>
              <dgm:constr type="h" for="ch" forName="line2"/>
              <dgm:constr type="r" for="ch" forName="d2" refType="w" fact="0.6502"/>
              <dgm:constr type="b" for="ch" forName="d2" refType="h" fact="0.682"/>
              <dgm:constr type="w" for="ch" forName="d2" refType="w" fact="0.275"/>
              <dgm:constr type="h" for="ch" forName="d2" refType="h" fact="0.41215"/>
              <dgm:constr type="w" for="ch" forName="circle3" refType="w" fact="0.3334"/>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324"/>
              <dgm:constr type="l" for="ch" forName="text3"/>
              <dgm:constr type="ctrY" for="ch" forName="text3" refType="h" fact="0.41"/>
              <dgm:constr type="l" for="ch" forName="line3" refType="r" refFor="ch" refForName="text3"/>
              <dgm:constr type="ctrY" for="ch" forName="line3" refType="ctrY" refFor="ch" refForName="text3"/>
              <dgm:constr type="r" for="ch" forName="line3" refType="w" fact="0.375"/>
              <dgm:constr type="h" for="ch" forName="line3"/>
              <dgm:constr type="r" for="ch" forName="d3" refType="w" fact="0.606"/>
              <dgm:constr type="b" for="ch" forName="d3" refType="h" fact="0.735"/>
              <dgm:constr type="w" for="ch" forName="d3" refType="w" fact="0.231"/>
              <dgm:constr type="h" for="ch" forName="d3" refType="h" fact="0.325"/>
              <dgm:constr type="w" for="ch" forName="circle4" refType="w" fact="0.4667"/>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324"/>
              <dgm:constr type="l" for="ch" forName="text4"/>
              <dgm:constr type="ctrY" for="ch" forName="text4" refType="h" fact="0.547"/>
              <dgm:constr type="l" for="ch" forName="line4" refType="r" refFor="ch" refForName="text4"/>
              <dgm:constr type="ctrY" for="ch" forName="line4" refType="ctrY" refFor="ch" refForName="text4"/>
              <dgm:constr type="r" for="ch" forName="line4" refType="w" fact="0.375"/>
              <dgm:constr type="h" for="ch" forName="line4"/>
              <dgm:constr type="r" for="ch" forName="d4" refType="w" fact="0.554"/>
              <dgm:constr type="b" for="ch" forName="d4" refType="h" fact="0.795"/>
              <dgm:constr type="w" for="ch" forName="d4" refType="w" fact="0.179"/>
              <dgm:constr type="h" for="ch" forName="d4" refType="h" fact="0.248"/>
              <dgm:constr type="w" for="ch" forName="circle5" refType="w" fact="0.6"/>
              <dgm:constr type="h" for="ch" forName="circle5" refType="w" refFor="ch" refForName="circle5"/>
              <dgm:constr type="ctrX" for="ch" forName="circle5" refType="ctrX" refFor="ch" refForName="circle1"/>
              <dgm:constr type="ctrY" for="ch" forName="circle5" refType="ctrY" refFor="ch" refForName="circle1"/>
              <dgm:constr type="w" for="ch" forName="text5" refType="w" fact="0.3"/>
              <dgm:constr type="h" for="ch" forName="text5" refType="h" fact="0.1324"/>
              <dgm:constr type="l" for="ch" forName="text5"/>
              <dgm:constr type="ctrY" for="ch" forName="text5" refType="h" fact="0.68"/>
              <dgm:constr type="l" for="ch" forName="line5" refType="r" refFor="ch" refForName="text5"/>
              <dgm:constr type="ctrY" for="ch" forName="line5" refType="ctrY" refFor="ch" refForName="text5"/>
              <dgm:constr type="r" for="ch" forName="line5" refType="w" fact="0.375"/>
              <dgm:constr type="h" for="ch" forName="line5"/>
              <dgm:constr type="r" for="ch" forName="d5" refType="w" fact="0.505"/>
              <dgm:constr type="b" for="ch" forName="d5" refType="h" fact="0.855"/>
              <dgm:constr type="w" for="ch" forName="d5" refType="w" fact="0.13"/>
              <dgm:constr type="h" for="ch" forName="d5" refType="h" fact="0.175"/>
            </dgm:constrLst>
          </dgm:if>
          <dgm:else name="Name18"/>
        </dgm:choose>
      </dgm:else>
    </dgm:choose>
    <dgm:ruleLst/>
    <dgm:forEach name="Name19" axis="ch" ptType="node" cnt="1">
      <dgm:layoutNode name="circle1" styleLbl="lnNode1">
        <dgm:alg type="sp"/>
        <dgm:shape xmlns:r="http://schemas.openxmlformats.org/officeDocument/2006/relationships" type="ellipse" r:blip="">
          <dgm:adjLst/>
        </dgm:shape>
        <dgm:presOf/>
        <dgm:constrLst/>
        <dgm:ruleLst/>
      </dgm:layoutNode>
      <dgm:layoutNode name="text1" styleLbl="revTx">
        <dgm:varLst>
          <dgm:bulletEnabled val="1"/>
        </dgm:varLst>
        <dgm:choose name="Name20">
          <dgm:if name="Name21" func="var" arg="dir" op="equ" val="norm">
            <dgm:choose name="Name22">
              <dgm:if name="Name23" axis="root des" ptType="all node" func="maxDepth" op="gt" val="1">
                <dgm:alg type="tx">
                  <dgm:param type="parTxLTRAlign" val="l"/>
                  <dgm:param type="parTxRTLAlign" val="r"/>
                </dgm:alg>
              </dgm:if>
              <dgm:else name="Name24">
                <dgm:alg type="tx">
                  <dgm:param type="parTxLTRAlign" val="l"/>
                  <dgm:param type="parTxRTLAlign" val="l"/>
                </dgm:alg>
              </dgm:else>
            </dgm:choose>
          </dgm:if>
          <dgm:else name="Name25">
            <dgm:choose name="Name26">
              <dgm:if name="Name27" axis="root des" ptType="all node" func="maxDepth" op="gt" val="1">
                <dgm:alg type="tx">
                  <dgm:param type="parTxLTRAlign" val="l"/>
                  <dgm:param type="parTxRTLAlign" val="r"/>
                </dgm:alg>
              </dgm:if>
              <dgm:else name="Name28">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29">
          <dgm:if name="Name30" func="var" arg="dir" op="equ" val="norm">
            <dgm:constrLst>
              <dgm:constr type="tMarg" refType="primFontSz" fact="0.1"/>
              <dgm:constr type="bMarg" refType="primFontSz" fact="0.1"/>
              <dgm:constr type="rMarg" refType="primFontSz" fact="0.1"/>
            </dgm:constrLst>
          </dgm:if>
          <dgm:else name="Name31">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1" styleLbl="callout">
        <dgm:alg type="sp"/>
        <dgm:shape xmlns:r="http://schemas.openxmlformats.org/officeDocument/2006/relationships" type="line" r:blip="">
          <dgm:adjLst/>
        </dgm:shape>
        <dgm:presOf/>
        <dgm:constrLst/>
        <dgm:ruleLst/>
      </dgm:layoutNode>
      <dgm:layoutNode name="d1" styleLbl="callout">
        <dgm:alg type="sp"/>
        <dgm:choose name="Name32">
          <dgm:if name="Name33" func="var" arg="dir" op="equ" val="norm">
            <dgm:shape xmlns:r="http://schemas.openxmlformats.org/officeDocument/2006/relationships" rot="90" type="line" r:blip="">
              <dgm:adjLst/>
            </dgm:shape>
          </dgm:if>
          <dgm:else name="Name34">
            <dgm:shape xmlns:r="http://schemas.openxmlformats.org/officeDocument/2006/relationships" rot="180" type="line" r:blip="">
              <dgm:adjLst/>
            </dgm:shape>
          </dgm:else>
        </dgm:choose>
        <dgm:presOf/>
        <dgm:constrLst/>
        <dgm:ruleLst/>
      </dgm:layoutNode>
    </dgm:forEach>
    <dgm:forEach name="Name35" axis="ch" ptType="node" st="2" cnt="1">
      <dgm:layoutNode name="circle2" styleLbl="lnNode1">
        <dgm:alg type="sp"/>
        <dgm:shape xmlns:r="http://schemas.openxmlformats.org/officeDocument/2006/relationships" type="ellipse" r:blip="" zOrderOff="-5">
          <dgm:adjLst/>
        </dgm:shape>
        <dgm:presOf/>
        <dgm:constrLst/>
        <dgm:ruleLst/>
      </dgm:layoutNode>
      <dgm:layoutNode name="text2" styleLbl="revTx">
        <dgm:varLst>
          <dgm:bulletEnabled val="1"/>
        </dgm:varLst>
        <dgm:choose name="Name36">
          <dgm:if name="Name37" func="var" arg="dir" op="equ" val="norm">
            <dgm:choose name="Name38">
              <dgm:if name="Name39" axis="root des" ptType="all node" func="maxDepth" op="gt" val="1">
                <dgm:alg type="tx">
                  <dgm:param type="parTxLTRAlign" val="l"/>
                  <dgm:param type="parTxRTLAlign" val="r"/>
                </dgm:alg>
              </dgm:if>
              <dgm:else name="Name40">
                <dgm:alg type="tx">
                  <dgm:param type="parTxLTRAlign" val="l"/>
                  <dgm:param type="parTxRTLAlign" val="l"/>
                </dgm:alg>
              </dgm:else>
            </dgm:choose>
          </dgm:if>
          <dgm:else name="Name41">
            <dgm:choose name="Name42">
              <dgm:if name="Name43" axis="root des" ptType="all node" func="maxDepth" op="gt" val="1">
                <dgm:alg type="tx">
                  <dgm:param type="parTxLTRAlign" val="l"/>
                  <dgm:param type="parTxRTLAlign" val="r"/>
                </dgm:alg>
              </dgm:if>
              <dgm:else name="Name44">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45">
          <dgm:if name="Name46" func="var" arg="dir" op="equ" val="norm">
            <dgm:constrLst>
              <dgm:constr type="tMarg" refType="primFontSz" fact="0.1"/>
              <dgm:constr type="bMarg" refType="primFontSz" fact="0.1"/>
              <dgm:constr type="rMarg" refType="primFontSz" fact="0.1"/>
            </dgm:constrLst>
          </dgm:if>
          <dgm:else name="Name47">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2" styleLbl="callout">
        <dgm:alg type="sp"/>
        <dgm:shape xmlns:r="http://schemas.openxmlformats.org/officeDocument/2006/relationships" type="line" r:blip="">
          <dgm:adjLst/>
        </dgm:shape>
        <dgm:presOf/>
        <dgm:constrLst/>
        <dgm:ruleLst/>
      </dgm:layoutNode>
      <dgm:layoutNode name="d2" styleLbl="callout">
        <dgm:alg type="sp"/>
        <dgm:choose name="Name48">
          <dgm:if name="Name49" func="var" arg="dir" op="equ" val="norm">
            <dgm:shape xmlns:r="http://schemas.openxmlformats.org/officeDocument/2006/relationships" rot="90" type="line" r:blip="">
              <dgm:adjLst/>
            </dgm:shape>
          </dgm:if>
          <dgm:else name="Name50">
            <dgm:shape xmlns:r="http://schemas.openxmlformats.org/officeDocument/2006/relationships" rot="180" type="line" r:blip="">
              <dgm:adjLst/>
            </dgm:shape>
          </dgm:else>
        </dgm:choose>
        <dgm:presOf/>
        <dgm:constrLst/>
        <dgm:ruleLst/>
      </dgm:layoutNode>
    </dgm:forEach>
    <dgm:forEach name="Name51" axis="ch" ptType="node" st="3" cnt="1">
      <dgm:layoutNode name="circle3" styleLbl="lnNode1">
        <dgm:alg type="sp"/>
        <dgm:shape xmlns:r="http://schemas.openxmlformats.org/officeDocument/2006/relationships" type="ellipse" r:blip="" zOrderOff="-10">
          <dgm:adjLst/>
        </dgm:shape>
        <dgm:presOf/>
        <dgm:constrLst/>
        <dgm:ruleLst/>
      </dgm:layoutNode>
      <dgm:layoutNode name="text3" styleLbl="revTx">
        <dgm:varLst>
          <dgm:bulletEnabled val="1"/>
        </dgm:varLst>
        <dgm:choose name="Name52">
          <dgm:if name="Name53" func="var" arg="dir" op="equ" val="norm">
            <dgm:choose name="Name54">
              <dgm:if name="Name55" axis="root des" ptType="all node" func="maxDepth" op="gt" val="1">
                <dgm:alg type="tx">
                  <dgm:param type="parTxLTRAlign" val="l"/>
                  <dgm:param type="parTxRTLAlign" val="r"/>
                </dgm:alg>
              </dgm:if>
              <dgm:else name="Name56">
                <dgm:alg type="tx">
                  <dgm:param type="parTxLTRAlign" val="l"/>
                  <dgm:param type="parTxRTLAlign" val="l"/>
                </dgm:alg>
              </dgm:else>
            </dgm:choose>
          </dgm:if>
          <dgm:else name="Name57">
            <dgm:choose name="Name58">
              <dgm:if name="Name59" axis="root des" ptType="all node" func="maxDepth" op="gt" val="1">
                <dgm:alg type="tx">
                  <dgm:param type="parTxLTRAlign" val="l"/>
                  <dgm:param type="parTxRTLAlign" val="r"/>
                </dgm:alg>
              </dgm:if>
              <dgm:else name="Name60">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61">
          <dgm:if name="Name62" func="var" arg="dir" op="equ" val="norm">
            <dgm:constrLst>
              <dgm:constr type="tMarg" refType="primFontSz" fact="0.1"/>
              <dgm:constr type="bMarg" refType="primFontSz" fact="0.1"/>
              <dgm:constr type="rMarg" refType="primFontSz" fact="0.1"/>
            </dgm:constrLst>
          </dgm:if>
          <dgm:else name="Name63">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3" styleLbl="callout">
        <dgm:alg type="sp"/>
        <dgm:shape xmlns:r="http://schemas.openxmlformats.org/officeDocument/2006/relationships" type="line" r:blip="">
          <dgm:adjLst/>
        </dgm:shape>
        <dgm:presOf/>
        <dgm:constrLst/>
        <dgm:ruleLst/>
      </dgm:layoutNode>
      <dgm:layoutNode name="d3" styleLbl="callout">
        <dgm:alg type="sp"/>
        <dgm:choose name="Name64">
          <dgm:if name="Name65" func="var" arg="dir" op="equ" val="norm">
            <dgm:shape xmlns:r="http://schemas.openxmlformats.org/officeDocument/2006/relationships" rot="90" type="line" r:blip="">
              <dgm:adjLst/>
            </dgm:shape>
          </dgm:if>
          <dgm:else name="Name66">
            <dgm:shape xmlns:r="http://schemas.openxmlformats.org/officeDocument/2006/relationships" rot="180" type="line" r:blip="">
              <dgm:adjLst/>
            </dgm:shape>
          </dgm:else>
        </dgm:choose>
        <dgm:presOf/>
        <dgm:constrLst/>
        <dgm:ruleLst/>
      </dgm:layoutNode>
    </dgm:forEach>
    <dgm:forEach name="Name67" axis="ch" ptType="node" st="4" cnt="1">
      <dgm:layoutNode name="circle4" styleLbl="lnNode1">
        <dgm:alg type="sp"/>
        <dgm:shape xmlns:r="http://schemas.openxmlformats.org/officeDocument/2006/relationships" type="ellipse" r:blip="" zOrderOff="-15">
          <dgm:adjLst/>
        </dgm:shape>
        <dgm:presOf/>
        <dgm:constrLst/>
        <dgm:ruleLst/>
      </dgm:layoutNode>
      <dgm:layoutNode name="text4" styleLbl="revTx">
        <dgm:varLst>
          <dgm:bulletEnabled val="1"/>
        </dgm:varLst>
        <dgm:choose name="Name68">
          <dgm:if name="Name69" func="var" arg="dir" op="equ" val="norm">
            <dgm:choose name="Name70">
              <dgm:if name="Name71" axis="root des" ptType="all node" func="maxDepth" op="gt" val="1">
                <dgm:alg type="tx">
                  <dgm:param type="parTxLTRAlign" val="l"/>
                  <dgm:param type="parTxRTLAlign" val="r"/>
                </dgm:alg>
              </dgm:if>
              <dgm:else name="Name72">
                <dgm:alg type="tx">
                  <dgm:param type="parTxLTRAlign" val="l"/>
                  <dgm:param type="parTxRTLAlign" val="l"/>
                </dgm:alg>
              </dgm:else>
            </dgm:choose>
          </dgm:if>
          <dgm:else name="Name73">
            <dgm:choose name="Name74">
              <dgm:if name="Name75" axis="root des" ptType="all node" func="maxDepth" op="gt" val="1">
                <dgm:alg type="tx">
                  <dgm:param type="parTxLTRAlign" val="l"/>
                  <dgm:param type="parTxRTLAlign" val="r"/>
                </dgm:alg>
              </dgm:if>
              <dgm:else name="Name76">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77">
          <dgm:if name="Name78" func="var" arg="dir" op="equ" val="norm">
            <dgm:constrLst>
              <dgm:constr type="tMarg" refType="primFontSz" fact="0.1"/>
              <dgm:constr type="bMarg" refType="primFontSz" fact="0.1"/>
              <dgm:constr type="rMarg" refType="primFontSz" fact="0.1"/>
            </dgm:constrLst>
          </dgm:if>
          <dgm:else name="Name79">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4" styleLbl="callout">
        <dgm:alg type="sp"/>
        <dgm:shape xmlns:r="http://schemas.openxmlformats.org/officeDocument/2006/relationships" type="line" r:blip="">
          <dgm:adjLst/>
        </dgm:shape>
        <dgm:presOf/>
        <dgm:constrLst/>
        <dgm:ruleLst/>
      </dgm:layoutNode>
      <dgm:layoutNode name="d4" styleLbl="callout">
        <dgm:alg type="sp"/>
        <dgm:choose name="Name80">
          <dgm:if name="Name81" func="var" arg="dir" op="equ" val="norm">
            <dgm:shape xmlns:r="http://schemas.openxmlformats.org/officeDocument/2006/relationships" rot="90" type="line" r:blip="">
              <dgm:adjLst/>
            </dgm:shape>
          </dgm:if>
          <dgm:else name="Name82">
            <dgm:shape xmlns:r="http://schemas.openxmlformats.org/officeDocument/2006/relationships" rot="180" type="line" r:blip="">
              <dgm:adjLst/>
            </dgm:shape>
          </dgm:else>
        </dgm:choose>
        <dgm:presOf/>
        <dgm:constrLst/>
        <dgm:ruleLst/>
      </dgm:layoutNode>
    </dgm:forEach>
    <dgm:forEach name="Name83" axis="ch" ptType="node" st="5" cnt="1">
      <dgm:layoutNode name="circle5" styleLbl="lnNode1">
        <dgm:alg type="sp"/>
        <dgm:shape xmlns:r="http://schemas.openxmlformats.org/officeDocument/2006/relationships" type="ellipse" r:blip="" zOrderOff="-20">
          <dgm:adjLst/>
        </dgm:shape>
        <dgm:presOf/>
        <dgm:constrLst/>
        <dgm:ruleLst/>
      </dgm:layoutNode>
      <dgm:layoutNode name="text5" styleLbl="revTx">
        <dgm:varLst>
          <dgm:bulletEnabled val="1"/>
        </dgm:varLst>
        <dgm:choose name="Name84">
          <dgm:if name="Name85" func="var" arg="dir" op="equ" val="norm">
            <dgm:choose name="Name86">
              <dgm:if name="Name87" axis="root des" ptType="all node" func="maxDepth" op="gt" val="1">
                <dgm:alg type="tx">
                  <dgm:param type="parTxLTRAlign" val="l"/>
                  <dgm:param type="parTxRTLAlign" val="r"/>
                </dgm:alg>
              </dgm:if>
              <dgm:else name="Name88">
                <dgm:alg type="tx">
                  <dgm:param type="parTxLTRAlign" val="l"/>
                  <dgm:param type="parTxRTLAlign" val="l"/>
                </dgm:alg>
              </dgm:else>
            </dgm:choose>
          </dgm:if>
          <dgm:else name="Name89">
            <dgm:choose name="Name90">
              <dgm:if name="Name91" axis="root des" ptType="all node" func="maxDepth" op="gt" val="1">
                <dgm:alg type="tx">
                  <dgm:param type="parTxLTRAlign" val="l"/>
                  <dgm:param type="parTxRTLAlign" val="r"/>
                </dgm:alg>
              </dgm:if>
              <dgm:else name="Name92">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93">
          <dgm:if name="Name94" func="var" arg="dir" op="equ" val="norm">
            <dgm:constrLst>
              <dgm:constr type="tMarg" refType="primFontSz" fact="0.1"/>
              <dgm:constr type="bMarg" refType="primFontSz" fact="0.1"/>
              <dgm:constr type="rMarg" refType="primFontSz" fact="0.1"/>
            </dgm:constrLst>
          </dgm:if>
          <dgm:else name="Name95">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5" styleLbl="callout">
        <dgm:alg type="sp"/>
        <dgm:shape xmlns:r="http://schemas.openxmlformats.org/officeDocument/2006/relationships" type="line" r:blip="">
          <dgm:adjLst/>
        </dgm:shape>
        <dgm:presOf/>
        <dgm:constrLst/>
        <dgm:ruleLst/>
      </dgm:layoutNode>
      <dgm:layoutNode name="d5" styleLbl="callout">
        <dgm:alg type="sp"/>
        <dgm:choose name="Name96">
          <dgm:if name="Name97" func="var" arg="dir" op="equ" val="norm">
            <dgm:shape xmlns:r="http://schemas.openxmlformats.org/officeDocument/2006/relationships" rot="90" type="line" r:blip="">
              <dgm:adjLst/>
            </dgm:shape>
          </dgm:if>
          <dgm:else name="Name98">
            <dgm:shape xmlns:r="http://schemas.openxmlformats.org/officeDocument/2006/relationships" rot="180" type="line" r:blip="">
              <dgm:adjLst/>
            </dgm:shape>
          </dgm:else>
        </dgm:choose>
        <dgm:presOf/>
        <dgm:constrLst/>
        <dgm:ruleLst/>
      </dgm:layoutNode>
    </dgm:forEach>
  </dgm:layoutNode>
</dgm:layoutDef>
</file>

<file path=xl/diagrams/layout2.xml><?xml version="1.0" encoding="utf-8"?>
<dgm:layoutDef xmlns:dgm="http://schemas.openxmlformats.org/drawingml/2006/diagram" xmlns:a="http://schemas.openxmlformats.org/drawingml/2006/main" uniqueId="urn:microsoft.com/office/officeart/2005/8/layout/cycle2">
  <dgm:title val=""/>
  <dgm:desc val=""/>
  <dgm:catLst>
    <dgm:cat type="cycle" pri="1000"/>
    <dgm:cat type="convert" pri="10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cycle">
    <dgm:varLst>
      <dgm:dir/>
      <dgm:resizeHandles val="exact"/>
    </dgm:varLst>
    <dgm:choose name="Name0">
      <dgm:if name="Name1" func="var" arg="dir" op="equ" val="norm">
        <dgm:choose name="Name2">
          <dgm:if name="Name3" axis="ch" ptType="node" func="cnt" op="gt" val="2">
            <dgm:alg type="cycle">
              <dgm:param type="stAng" val="0"/>
              <dgm:param type="spanAng" val="360"/>
            </dgm:alg>
          </dgm:if>
          <dgm:else name="Name4">
            <dgm:alg type="cycle">
              <dgm:param type="stAng" val="-90"/>
              <dgm:param type="spanAng" val="360"/>
            </dgm:alg>
          </dgm:else>
        </dgm:choose>
      </dgm:if>
      <dgm:else name="Name5">
        <dgm:choose name="Name6">
          <dgm:if name="Name7" axis="ch" ptType="node" func="cnt" op="gt" val="2">
            <dgm:alg type="cycle">
              <dgm:param type="stAng" val="0"/>
              <dgm:param type="spanAng" val="-360"/>
            </dgm:alg>
          </dgm:if>
          <dgm:else name="Name8">
            <dgm:alg type="cycle">
              <dgm:param type="stAng" val="90"/>
              <dgm:param type="spanAng" val="-360"/>
            </dgm:alg>
          </dgm:else>
        </dgm:choose>
      </dgm:else>
    </dgm:choose>
    <dgm:shape xmlns:r="http://schemas.openxmlformats.org/officeDocument/2006/relationships" r:blip="">
      <dgm:adjLst/>
    </dgm:shape>
    <dgm:presOf/>
    <dgm:constrLst>
      <dgm:constr type="w" for="ch" ptType="node" refType="w"/>
      <dgm:constr type="w" for="ch" ptType="sibTrans" refType="w" refFor="ch" refPtType="node" op="equ" fact="0.25"/>
      <dgm:constr type="sibSp" refType="w" refFor="ch" refPtType="node" fact="0.5"/>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9">
        <dgm:if name="Name10" axis="par ch" ptType="doc node" func="cnt" op="gt" val="1">
          <dgm:forEach name="sibTransForEach" axis="followSib" ptType="sibTrans" hideLastTrans="0" cnt="1">
            <dgm:layoutNode name="sibTrans">
              <dgm:choose name="Name11">
                <dgm:if name="Name12" axis="par ch" ptType="doc node" func="cnt" op="lt" val="3">
                  <dgm:alg type="conn">
                    <dgm:param type="begPts" val="radial"/>
                    <dgm:param type="endPts" val="radial"/>
                  </dgm:alg>
                </dgm:if>
                <dgm:else name="Name13">
                  <dgm:alg type="conn">
                    <dgm:param type="begPts" val="auto"/>
                    <dgm:param type="endPts" val="auto"/>
                  </dgm:alg>
                </dgm:else>
              </dgm:choose>
              <dgm:shape xmlns:r="http://schemas.openxmlformats.org/officeDocument/2006/relationships" type="conn" r:blip="">
                <dgm:adjLst/>
              </dgm:shape>
              <dgm:presOf axis="self"/>
              <dgm:constrLst>
                <dgm:constr type="h" refType="w" fact="1.35"/>
                <dgm:constr type="connDist"/>
                <dgm:constr type="w" for="ch" refType="connDist" fact="0.45"/>
                <dgm:constr type="h" for="ch" refType="h"/>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if>
        <dgm:else name="Name14"/>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7" Type="http://schemas.openxmlformats.org/officeDocument/2006/relationships/image" Target="../media/image2.png"/><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pn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76200</xdr:colOff>
      <xdr:row>78</xdr:row>
      <xdr:rowOff>67734</xdr:rowOff>
    </xdr:from>
    <xdr:to>
      <xdr:col>8</xdr:col>
      <xdr:colOff>558801</xdr:colOff>
      <xdr:row>82</xdr:row>
      <xdr:rowOff>181186</xdr:rowOff>
    </xdr:to>
    <xdr:graphicFrame macro="">
      <xdr:nvGraphicFramePr>
        <xdr:cNvPr id="8" name="Diagramme 7">
          <a:extLst>
            <a:ext uri="{FF2B5EF4-FFF2-40B4-BE49-F238E27FC236}">
              <a16:creationId xmlns:a16="http://schemas.microsoft.com/office/drawing/2014/main" id="{DC2FC2F0-831D-AE4F-8845-5C016C82FEC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2</xdr:col>
      <xdr:colOff>169334</xdr:colOff>
      <xdr:row>64</xdr:row>
      <xdr:rowOff>135467</xdr:rowOff>
    </xdr:from>
    <xdr:to>
      <xdr:col>4</xdr:col>
      <xdr:colOff>585858</xdr:colOff>
      <xdr:row>74</xdr:row>
      <xdr:rowOff>59269</xdr:rowOff>
    </xdr:to>
    <xdr:pic>
      <xdr:nvPicPr>
        <xdr:cNvPr id="9" name="Image 8">
          <a:extLst>
            <a:ext uri="{FF2B5EF4-FFF2-40B4-BE49-F238E27FC236}">
              <a16:creationId xmlns:a16="http://schemas.microsoft.com/office/drawing/2014/main" id="{DDA969E8-0238-F37E-F303-B84D558BEF2B}"/>
            </a:ext>
          </a:extLst>
        </xdr:cNvPr>
        <xdr:cNvPicPr>
          <a:picLocks noChangeAspect="1"/>
        </xdr:cNvPicPr>
      </xdr:nvPicPr>
      <xdr:blipFill rotWithShape="1">
        <a:blip xmlns:r="http://schemas.openxmlformats.org/officeDocument/2006/relationships" r:embed="rId6"/>
        <a:srcRect b="7714"/>
        <a:stretch/>
      </xdr:blipFill>
      <xdr:spPr>
        <a:xfrm>
          <a:off x="651934" y="14401800"/>
          <a:ext cx="3007324" cy="2209802"/>
        </a:xfrm>
        <a:prstGeom prst="rect">
          <a:avLst/>
        </a:prstGeom>
      </xdr:spPr>
    </xdr:pic>
    <xdr:clientData/>
  </xdr:twoCellAnchor>
  <xdr:twoCellAnchor>
    <xdr:from>
      <xdr:col>4</xdr:col>
      <xdr:colOff>435290</xdr:colOff>
      <xdr:row>65</xdr:row>
      <xdr:rowOff>18414</xdr:rowOff>
    </xdr:from>
    <xdr:to>
      <xdr:col>6</xdr:col>
      <xdr:colOff>821267</xdr:colOff>
      <xdr:row>71</xdr:row>
      <xdr:rowOff>220133</xdr:rowOff>
    </xdr:to>
    <xdr:grpSp>
      <xdr:nvGrpSpPr>
        <xdr:cNvPr id="13" name="Groupe 12">
          <a:extLst>
            <a:ext uri="{FF2B5EF4-FFF2-40B4-BE49-F238E27FC236}">
              <a16:creationId xmlns:a16="http://schemas.microsoft.com/office/drawing/2014/main" id="{325DED79-4837-3BDC-73EB-0724CE26E01C}"/>
            </a:ext>
          </a:extLst>
        </xdr:cNvPr>
        <xdr:cNvGrpSpPr/>
      </xdr:nvGrpSpPr>
      <xdr:grpSpPr>
        <a:xfrm>
          <a:off x="3549965" y="14486889"/>
          <a:ext cx="3186327" cy="1573319"/>
          <a:chOff x="3807258" y="12312014"/>
          <a:chExt cx="6284351" cy="1573319"/>
        </a:xfrm>
      </xdr:grpSpPr>
      <xdr:sp macro="" textlink="">
        <xdr:nvSpPr>
          <xdr:cNvPr id="10" name="Flèche : droite 9">
            <a:extLst>
              <a:ext uri="{FF2B5EF4-FFF2-40B4-BE49-F238E27FC236}">
                <a16:creationId xmlns:a16="http://schemas.microsoft.com/office/drawing/2014/main" id="{9AE7E69F-7283-F8E1-3C53-E07A300E9060}"/>
              </a:ext>
            </a:extLst>
          </xdr:cNvPr>
          <xdr:cNvSpPr/>
        </xdr:nvSpPr>
        <xdr:spPr>
          <a:xfrm rot="14400964">
            <a:off x="3335921" y="12783351"/>
            <a:ext cx="1216236" cy="273561"/>
          </a:xfrm>
          <a:prstGeom prst="rightArrow">
            <a:avLst/>
          </a:prstGeom>
          <a:solidFill>
            <a:srgbClr val="F04A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 name="ZoneTexte 10">
            <a:extLst>
              <a:ext uri="{FF2B5EF4-FFF2-40B4-BE49-F238E27FC236}">
                <a16:creationId xmlns:a16="http://schemas.microsoft.com/office/drawing/2014/main" id="{665D1C83-4B43-FEF1-D57E-EF3311FA64B5}"/>
              </a:ext>
            </a:extLst>
          </xdr:cNvPr>
          <xdr:cNvSpPr txBox="1"/>
        </xdr:nvSpPr>
        <xdr:spPr>
          <a:xfrm>
            <a:off x="5274141" y="13428132"/>
            <a:ext cx="4817468" cy="457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Cliquer sur         pour</a:t>
            </a:r>
            <a:r>
              <a:rPr lang="fr-FR" sz="1100" baseline="0"/>
              <a:t> pour afficher les 2 colonnes spécifiques à My System</a:t>
            </a:r>
            <a:endParaRPr lang="fr-FR" sz="1100"/>
          </a:p>
        </xdr:txBody>
      </xdr:sp>
      <xdr:pic>
        <xdr:nvPicPr>
          <xdr:cNvPr id="12" name="Image 11">
            <a:extLst>
              <a:ext uri="{FF2B5EF4-FFF2-40B4-BE49-F238E27FC236}">
                <a16:creationId xmlns:a16="http://schemas.microsoft.com/office/drawing/2014/main" id="{B6CAC69D-4FD5-6DA0-9BC9-184A65FD684D}"/>
              </a:ext>
            </a:extLst>
          </xdr:cNvPr>
          <xdr:cNvPicPr>
            <a:picLocks noChangeAspect="1"/>
          </xdr:cNvPicPr>
        </xdr:nvPicPr>
        <xdr:blipFill>
          <a:blip xmlns:r="http://schemas.openxmlformats.org/officeDocument/2006/relationships" r:embed="rId7"/>
          <a:stretch>
            <a:fillRect/>
          </a:stretch>
        </xdr:blipFill>
        <xdr:spPr>
          <a:xfrm>
            <a:off x="6776826" y="13411202"/>
            <a:ext cx="439717" cy="231828"/>
          </a:xfrm>
          <a:prstGeom prst="rect">
            <a:avLst/>
          </a:prstGeom>
        </xdr:spPr>
      </xdr:pic>
    </xdr:grpSp>
    <xdr:clientData/>
  </xdr:twoCellAnchor>
  <xdr:twoCellAnchor>
    <xdr:from>
      <xdr:col>4</xdr:col>
      <xdr:colOff>736600</xdr:colOff>
      <xdr:row>70</xdr:row>
      <xdr:rowOff>0</xdr:rowOff>
    </xdr:from>
    <xdr:to>
      <xdr:col>4</xdr:col>
      <xdr:colOff>1096600</xdr:colOff>
      <xdr:row>71</xdr:row>
      <xdr:rowOff>95400</xdr:rowOff>
    </xdr:to>
    <xdr:sp macro="" textlink="">
      <xdr:nvSpPr>
        <xdr:cNvPr id="18" name="Ellipse 17">
          <a:extLst>
            <a:ext uri="{FF2B5EF4-FFF2-40B4-BE49-F238E27FC236}">
              <a16:creationId xmlns:a16="http://schemas.microsoft.com/office/drawing/2014/main" id="{07482D43-5868-4B38-8CA6-6094587483D1}"/>
            </a:ext>
          </a:extLst>
        </xdr:cNvPr>
        <xdr:cNvSpPr/>
      </xdr:nvSpPr>
      <xdr:spPr>
        <a:xfrm>
          <a:off x="3810000" y="15637933"/>
          <a:ext cx="360000" cy="324000"/>
        </a:xfrm>
        <a:prstGeom prst="ellipse">
          <a:avLst/>
        </a:prstGeom>
        <a:noFill/>
        <a:ln w="28575">
          <a:solidFill>
            <a:srgbClr val="F04A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1100" b="1">
              <a:solidFill>
                <a:srgbClr val="FF0000"/>
              </a:solidFill>
            </a:rPr>
            <a:t>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257175</xdr:colOff>
      <xdr:row>7</xdr:row>
      <xdr:rowOff>67522</xdr:rowOff>
    </xdr:from>
    <xdr:to>
      <xdr:col>10</xdr:col>
      <xdr:colOff>542925</xdr:colOff>
      <xdr:row>22</xdr:row>
      <xdr:rowOff>97155</xdr:rowOff>
    </xdr:to>
    <xdr:grpSp>
      <xdr:nvGrpSpPr>
        <xdr:cNvPr id="2" name="Groupe 1">
          <a:extLst>
            <a:ext uri="{FF2B5EF4-FFF2-40B4-BE49-F238E27FC236}">
              <a16:creationId xmlns:a16="http://schemas.microsoft.com/office/drawing/2014/main" id="{9218BB05-F509-4E53-8A1B-59D2ABD40635}"/>
            </a:ext>
          </a:extLst>
        </xdr:cNvPr>
        <xdr:cNvGrpSpPr/>
      </xdr:nvGrpSpPr>
      <xdr:grpSpPr>
        <a:xfrm>
          <a:off x="1543050" y="1705822"/>
          <a:ext cx="6753225" cy="2677583"/>
          <a:chOff x="1675562" y="1658107"/>
          <a:chExt cx="8522454" cy="4561490"/>
        </a:xfrm>
      </xdr:grpSpPr>
      <xdr:graphicFrame macro="">
        <xdr:nvGraphicFramePr>
          <xdr:cNvPr id="3" name="Diagram 4">
            <a:extLst>
              <a:ext uri="{FF2B5EF4-FFF2-40B4-BE49-F238E27FC236}">
                <a16:creationId xmlns:a16="http://schemas.microsoft.com/office/drawing/2014/main" id="{9E740F8F-DC14-36DB-D801-508EC4C69DEE}"/>
              </a:ext>
            </a:extLst>
          </xdr:cNvPr>
          <xdr:cNvGraphicFramePr/>
        </xdr:nvGraphicFramePr>
        <xdr:xfrm>
          <a:off x="3111708" y="2020054"/>
          <a:ext cx="6139898" cy="4199543"/>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sp macro="" textlink="">
        <xdr:nvSpPr>
          <xdr:cNvPr id="4" name="Shape 424">
            <a:extLst>
              <a:ext uri="{FF2B5EF4-FFF2-40B4-BE49-F238E27FC236}">
                <a16:creationId xmlns:a16="http://schemas.microsoft.com/office/drawing/2014/main" id="{E6A3A234-69E8-9673-4C41-EC37C9B79A24}"/>
              </a:ext>
            </a:extLst>
          </xdr:cNvPr>
          <xdr:cNvSpPr/>
        </xdr:nvSpPr>
        <xdr:spPr>
          <a:xfrm>
            <a:off x="5281132" y="3254364"/>
            <a:ext cx="1590458" cy="1869094"/>
          </a:xfrm>
          <a:custGeom>
            <a:avLst/>
            <a:gdLst/>
            <a:ahLst/>
            <a:cxnLst>
              <a:cxn ang="0">
                <a:pos x="wd2" y="hd2"/>
              </a:cxn>
              <a:cxn ang="5400000">
                <a:pos x="wd2" y="hd2"/>
              </a:cxn>
              <a:cxn ang="10800000">
                <a:pos x="wd2" y="hd2"/>
              </a:cxn>
              <a:cxn ang="16200000">
                <a:pos x="wd2" y="hd2"/>
              </a:cxn>
            </a:cxnLst>
            <a:rect l="0" t="0" r="r" b="b"/>
            <a:pathLst>
              <a:path w="21600" h="21600" extrusionOk="0">
                <a:moveTo>
                  <a:pt x="5499" y="10800"/>
                </a:moveTo>
                <a:cubicBezTo>
                  <a:pt x="5499" y="7872"/>
                  <a:pt x="7872" y="5499"/>
                  <a:pt x="10800" y="5499"/>
                </a:cubicBezTo>
                <a:cubicBezTo>
                  <a:pt x="13727" y="5499"/>
                  <a:pt x="16101" y="7872"/>
                  <a:pt x="16101" y="10800"/>
                </a:cubicBezTo>
                <a:cubicBezTo>
                  <a:pt x="16101" y="13727"/>
                  <a:pt x="13727" y="16101"/>
                  <a:pt x="10800" y="16101"/>
                </a:cubicBezTo>
                <a:cubicBezTo>
                  <a:pt x="7872" y="16101"/>
                  <a:pt x="5499" y="13727"/>
                  <a:pt x="5499" y="10800"/>
                </a:cubicBezTo>
                <a:close/>
                <a:moveTo>
                  <a:pt x="0" y="9882"/>
                </a:moveTo>
                <a:lnTo>
                  <a:pt x="0" y="11719"/>
                </a:lnTo>
                <a:cubicBezTo>
                  <a:pt x="0" y="12203"/>
                  <a:pt x="397" y="12600"/>
                  <a:pt x="882" y="12600"/>
                </a:cubicBezTo>
                <a:lnTo>
                  <a:pt x="1963" y="12600"/>
                </a:lnTo>
                <a:cubicBezTo>
                  <a:pt x="2448" y="12600"/>
                  <a:pt x="2965" y="12978"/>
                  <a:pt x="3113" y="13440"/>
                </a:cubicBezTo>
                <a:lnTo>
                  <a:pt x="3495" y="14369"/>
                </a:lnTo>
                <a:cubicBezTo>
                  <a:pt x="3719" y="14800"/>
                  <a:pt x="3622" y="15433"/>
                  <a:pt x="3279" y="15776"/>
                </a:cubicBezTo>
                <a:lnTo>
                  <a:pt x="2514" y="16541"/>
                </a:lnTo>
                <a:cubicBezTo>
                  <a:pt x="2171" y="16884"/>
                  <a:pt x="2171" y="17444"/>
                  <a:pt x="2514" y="17788"/>
                </a:cubicBezTo>
                <a:lnTo>
                  <a:pt x="3812" y="19086"/>
                </a:lnTo>
                <a:cubicBezTo>
                  <a:pt x="4155" y="19429"/>
                  <a:pt x="4717" y="19429"/>
                  <a:pt x="5060" y="19086"/>
                </a:cubicBezTo>
                <a:lnTo>
                  <a:pt x="5825" y="18321"/>
                </a:lnTo>
                <a:cubicBezTo>
                  <a:pt x="6168" y="17978"/>
                  <a:pt x="6800" y="17880"/>
                  <a:pt x="7230" y="18105"/>
                </a:cubicBezTo>
                <a:lnTo>
                  <a:pt x="8160" y="18487"/>
                </a:lnTo>
                <a:cubicBezTo>
                  <a:pt x="8622" y="18634"/>
                  <a:pt x="9000" y="19152"/>
                  <a:pt x="9000" y="19637"/>
                </a:cubicBezTo>
                <a:lnTo>
                  <a:pt x="9000" y="20719"/>
                </a:lnTo>
                <a:cubicBezTo>
                  <a:pt x="9000" y="21203"/>
                  <a:pt x="9396" y="21600"/>
                  <a:pt x="9881" y="21600"/>
                </a:cubicBezTo>
                <a:lnTo>
                  <a:pt x="11718" y="21600"/>
                </a:lnTo>
                <a:cubicBezTo>
                  <a:pt x="12203" y="21600"/>
                  <a:pt x="12600" y="21203"/>
                  <a:pt x="12600" y="20719"/>
                </a:cubicBezTo>
                <a:lnTo>
                  <a:pt x="12600" y="19637"/>
                </a:lnTo>
                <a:cubicBezTo>
                  <a:pt x="12600" y="19152"/>
                  <a:pt x="12978" y="18634"/>
                  <a:pt x="13439" y="18487"/>
                </a:cubicBezTo>
                <a:lnTo>
                  <a:pt x="14370" y="18105"/>
                </a:lnTo>
                <a:cubicBezTo>
                  <a:pt x="14800" y="17880"/>
                  <a:pt x="15432" y="17978"/>
                  <a:pt x="15775" y="18321"/>
                </a:cubicBezTo>
                <a:lnTo>
                  <a:pt x="16540" y="19086"/>
                </a:lnTo>
                <a:cubicBezTo>
                  <a:pt x="16883" y="19429"/>
                  <a:pt x="17444" y="19429"/>
                  <a:pt x="17787" y="19086"/>
                </a:cubicBezTo>
                <a:lnTo>
                  <a:pt x="19086" y="17788"/>
                </a:lnTo>
                <a:cubicBezTo>
                  <a:pt x="19429" y="17444"/>
                  <a:pt x="19429" y="16884"/>
                  <a:pt x="19086" y="16541"/>
                </a:cubicBezTo>
                <a:lnTo>
                  <a:pt x="18321" y="15776"/>
                </a:lnTo>
                <a:cubicBezTo>
                  <a:pt x="17978" y="15433"/>
                  <a:pt x="17881" y="14800"/>
                  <a:pt x="18105" y="14369"/>
                </a:cubicBezTo>
                <a:lnTo>
                  <a:pt x="18486" y="13440"/>
                </a:lnTo>
                <a:cubicBezTo>
                  <a:pt x="18634" y="12978"/>
                  <a:pt x="19152" y="12600"/>
                  <a:pt x="19637" y="12600"/>
                </a:cubicBezTo>
                <a:lnTo>
                  <a:pt x="20718" y="12600"/>
                </a:lnTo>
                <a:cubicBezTo>
                  <a:pt x="21203" y="12600"/>
                  <a:pt x="21600" y="12203"/>
                  <a:pt x="21600" y="11719"/>
                </a:cubicBezTo>
                <a:lnTo>
                  <a:pt x="21600" y="9882"/>
                </a:lnTo>
                <a:cubicBezTo>
                  <a:pt x="21600" y="9397"/>
                  <a:pt x="21203" y="9000"/>
                  <a:pt x="20718" y="9000"/>
                </a:cubicBezTo>
                <a:lnTo>
                  <a:pt x="19637" y="9000"/>
                </a:lnTo>
                <a:cubicBezTo>
                  <a:pt x="19152" y="9000"/>
                  <a:pt x="18634" y="8622"/>
                  <a:pt x="18486" y="8161"/>
                </a:cubicBezTo>
                <a:lnTo>
                  <a:pt x="18105" y="7230"/>
                </a:lnTo>
                <a:cubicBezTo>
                  <a:pt x="17881" y="6800"/>
                  <a:pt x="17978" y="6168"/>
                  <a:pt x="18321" y="5825"/>
                </a:cubicBezTo>
                <a:lnTo>
                  <a:pt x="19086" y="5059"/>
                </a:lnTo>
                <a:cubicBezTo>
                  <a:pt x="19429" y="4717"/>
                  <a:pt x="19429" y="4156"/>
                  <a:pt x="19086" y="3812"/>
                </a:cubicBezTo>
                <a:lnTo>
                  <a:pt x="17787" y="2514"/>
                </a:lnTo>
                <a:cubicBezTo>
                  <a:pt x="17444" y="2171"/>
                  <a:pt x="16883" y="2171"/>
                  <a:pt x="16540" y="2514"/>
                </a:cubicBezTo>
                <a:lnTo>
                  <a:pt x="15775" y="3279"/>
                </a:lnTo>
                <a:cubicBezTo>
                  <a:pt x="15432" y="3622"/>
                  <a:pt x="14800" y="3719"/>
                  <a:pt x="14370" y="3495"/>
                </a:cubicBezTo>
                <a:lnTo>
                  <a:pt x="13439" y="3113"/>
                </a:lnTo>
                <a:cubicBezTo>
                  <a:pt x="12978" y="2965"/>
                  <a:pt x="12600" y="2448"/>
                  <a:pt x="12600" y="1963"/>
                </a:cubicBezTo>
                <a:lnTo>
                  <a:pt x="12600" y="882"/>
                </a:lnTo>
                <a:cubicBezTo>
                  <a:pt x="12600" y="396"/>
                  <a:pt x="12203" y="0"/>
                  <a:pt x="11718" y="0"/>
                </a:cubicBezTo>
                <a:lnTo>
                  <a:pt x="9881" y="0"/>
                </a:lnTo>
                <a:cubicBezTo>
                  <a:pt x="9396" y="0"/>
                  <a:pt x="9000" y="396"/>
                  <a:pt x="9000" y="882"/>
                </a:cubicBezTo>
                <a:lnTo>
                  <a:pt x="9000" y="1963"/>
                </a:lnTo>
                <a:cubicBezTo>
                  <a:pt x="9000" y="2448"/>
                  <a:pt x="8622" y="2965"/>
                  <a:pt x="8160" y="3113"/>
                </a:cubicBezTo>
                <a:lnTo>
                  <a:pt x="7230" y="3495"/>
                </a:lnTo>
                <a:cubicBezTo>
                  <a:pt x="6800" y="3719"/>
                  <a:pt x="6168" y="3622"/>
                  <a:pt x="5825" y="3279"/>
                </a:cubicBezTo>
                <a:lnTo>
                  <a:pt x="5060" y="2514"/>
                </a:lnTo>
                <a:cubicBezTo>
                  <a:pt x="4717" y="2171"/>
                  <a:pt x="4155" y="2171"/>
                  <a:pt x="3812" y="2514"/>
                </a:cubicBezTo>
                <a:lnTo>
                  <a:pt x="2514" y="3812"/>
                </a:lnTo>
                <a:cubicBezTo>
                  <a:pt x="2171" y="4156"/>
                  <a:pt x="2171" y="4717"/>
                  <a:pt x="2514" y="5059"/>
                </a:cubicBezTo>
                <a:lnTo>
                  <a:pt x="3279" y="5825"/>
                </a:lnTo>
                <a:cubicBezTo>
                  <a:pt x="3622" y="6168"/>
                  <a:pt x="3719" y="6800"/>
                  <a:pt x="3495" y="7230"/>
                </a:cubicBezTo>
                <a:lnTo>
                  <a:pt x="3113" y="8161"/>
                </a:lnTo>
                <a:cubicBezTo>
                  <a:pt x="2965" y="8622"/>
                  <a:pt x="2448" y="9000"/>
                  <a:pt x="1963" y="9000"/>
                </a:cubicBezTo>
                <a:lnTo>
                  <a:pt x="882" y="9000"/>
                </a:lnTo>
                <a:cubicBezTo>
                  <a:pt x="397" y="9000"/>
                  <a:pt x="0" y="9397"/>
                  <a:pt x="0" y="9882"/>
                </a:cubicBezTo>
                <a:close/>
              </a:path>
            </a:pathLst>
          </a:custGeom>
          <a:solidFill>
            <a:srgbClr val="2C3E50"/>
          </a:solidFill>
          <a:ln w="12700" cap="flat">
            <a:noFill/>
            <a:miter lim="400000"/>
          </a:ln>
          <a:effectLst/>
        </xdr:spPr>
        <xdr:txBody>
          <a:bodyPr wrap="square" lIns="28575" tIns="28575" rIns="28575" bIns="28575" numCol="1" anchor="ctr">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171416" eaLnBrk="1" fontAlgn="auto" latinLnBrk="0" hangingPunct="1">
              <a:lnSpc>
                <a:spcPct val="100000"/>
              </a:lnSpc>
              <a:spcBef>
                <a:spcPts val="0"/>
              </a:spcBef>
              <a:spcAft>
                <a:spcPts val="0"/>
              </a:spcAft>
              <a:buClrTx/>
              <a:buSzTx/>
              <a:buFontTx/>
              <a:buNone/>
              <a:tabLst/>
              <a:defRPr sz="3000">
                <a:solidFill>
                  <a:srgbClr val="FFFFFF"/>
                </a:solidFill>
                <a:effectLst>
                  <a:outerShdw blurRad="38100" dist="12700" dir="5400000" rotWithShape="0">
                    <a:srgbClr val="000000">
                      <a:alpha val="50000"/>
                    </a:srgbClr>
                  </a:outerShdw>
                </a:effectLst>
                <a:latin typeface="Source Sans Pro Light"/>
                <a:ea typeface="Source Sans Pro Light"/>
                <a:cs typeface="Source Sans Pro Light"/>
                <a:sym typeface="Source Sans Pro Light"/>
              </a:defRPr>
            </a:pPr>
            <a:endParaRPr kumimoji="0" lang="fr-FR" sz="1000" b="0" i="0" u="none" strike="noStrike" kern="0" cap="none" spc="0" normalizeH="0" baseline="0">
              <a:ln>
                <a:noFill/>
              </a:ln>
              <a:solidFill>
                <a:schemeClr val="tx1"/>
              </a:solidFill>
              <a:effectLst>
                <a:outerShdw blurRad="38100" dist="12700" dir="5400000" rotWithShape="0">
                  <a:srgbClr val="000000">
                    <a:alpha val="50000"/>
                  </a:srgbClr>
                </a:outerShdw>
              </a:effectLst>
              <a:uLnTx/>
              <a:uFillTx/>
              <a:latin typeface="Source Sans Pro Light"/>
              <a:ea typeface="Source Sans Pro Light"/>
              <a:cs typeface="Source Sans Pro Light"/>
              <a:sym typeface="Source Sans Pro Light"/>
            </a:endParaRPr>
          </a:p>
        </xdr:txBody>
      </xdr:sp>
      <xdr:sp macro="" textlink="">
        <xdr:nvSpPr>
          <xdr:cNvPr id="5" name="Rectangle 4">
            <a:extLst>
              <a:ext uri="{FF2B5EF4-FFF2-40B4-BE49-F238E27FC236}">
                <a16:creationId xmlns:a16="http://schemas.microsoft.com/office/drawing/2014/main" id="{DF00BCAB-E0C1-899C-4A5A-D6C3CB2509D6}"/>
              </a:ext>
            </a:extLst>
          </xdr:cNvPr>
          <xdr:cNvSpPr/>
        </xdr:nvSpPr>
        <xdr:spPr>
          <a:xfrm>
            <a:off x="5138579" y="1658107"/>
            <a:ext cx="2085797" cy="626972"/>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Identifier</a:t>
            </a:r>
            <a:r>
              <a:rPr kumimoji="0" lang="fr-FR" sz="1000" b="1" i="0" u="none" strike="noStrike" kern="0" cap="none" spc="0" normalizeH="0">
                <a:ln>
                  <a:noFill/>
                </a:ln>
                <a:solidFill>
                  <a:schemeClr val="tx1"/>
                </a:solidFill>
                <a:effectLst/>
                <a:uLnTx/>
                <a:uFillTx/>
              </a:rPr>
              <a:t> les risques</a:t>
            </a:r>
            <a:endParaRPr kumimoji="0" lang="fr-FR" sz="1000" b="1" i="0" u="none" strike="noStrike" kern="0" cap="none" spc="0" normalizeH="0" baseline="0">
              <a:ln>
                <a:noFill/>
              </a:ln>
              <a:solidFill>
                <a:schemeClr val="tx1"/>
              </a:solidFill>
              <a:effectLst/>
              <a:uLnTx/>
              <a:uFillTx/>
            </a:endParaRPr>
          </a:p>
        </xdr:txBody>
      </xdr:sp>
      <xdr:sp macro="" textlink="">
        <xdr:nvSpPr>
          <xdr:cNvPr id="6" name="Rectangle 5">
            <a:extLst>
              <a:ext uri="{FF2B5EF4-FFF2-40B4-BE49-F238E27FC236}">
                <a16:creationId xmlns:a16="http://schemas.microsoft.com/office/drawing/2014/main" id="{F9915BE1-844E-8CA1-616C-F2FD49230918}"/>
              </a:ext>
            </a:extLst>
          </xdr:cNvPr>
          <xdr:cNvSpPr/>
        </xdr:nvSpPr>
        <xdr:spPr>
          <a:xfrm>
            <a:off x="1675562" y="3580708"/>
            <a:ext cx="2814388" cy="870811"/>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Réévaluer les risques </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suite aux actions réalisées (AMDEC)</a:t>
            </a:r>
          </a:p>
        </xdr:txBody>
      </xdr:sp>
      <xdr:sp macro="" textlink="">
        <xdr:nvSpPr>
          <xdr:cNvPr id="7" name="Rectangle 6">
            <a:extLst>
              <a:ext uri="{FF2B5EF4-FFF2-40B4-BE49-F238E27FC236}">
                <a16:creationId xmlns:a16="http://schemas.microsoft.com/office/drawing/2014/main" id="{D6BE6805-E0BB-918A-CC2F-71CCDD0D76A7}"/>
              </a:ext>
            </a:extLst>
          </xdr:cNvPr>
          <xdr:cNvSpPr/>
        </xdr:nvSpPr>
        <xdr:spPr>
          <a:xfrm>
            <a:off x="3044805" y="5560356"/>
            <a:ext cx="2097039" cy="388224"/>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Suivre les actions</a:t>
            </a:r>
          </a:p>
        </xdr:txBody>
      </xdr:sp>
      <xdr:sp macro="" textlink="">
        <xdr:nvSpPr>
          <xdr:cNvPr id="8" name="Rectangle 7">
            <a:extLst>
              <a:ext uri="{FF2B5EF4-FFF2-40B4-BE49-F238E27FC236}">
                <a16:creationId xmlns:a16="http://schemas.microsoft.com/office/drawing/2014/main" id="{F06816E2-219C-8CCC-F45B-8A7070795D6D}"/>
              </a:ext>
            </a:extLst>
          </xdr:cNvPr>
          <xdr:cNvSpPr/>
        </xdr:nvSpPr>
        <xdr:spPr>
          <a:xfrm>
            <a:off x="7252897" y="5510197"/>
            <a:ext cx="2945119" cy="626973"/>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Mettre en œuvre les actions pour réduire les risques</a:t>
            </a:r>
          </a:p>
        </xdr:txBody>
      </xdr:sp>
      <xdr:sp macro="" textlink="">
        <xdr:nvSpPr>
          <xdr:cNvPr id="9" name="Rectangle 8">
            <a:extLst>
              <a:ext uri="{FF2B5EF4-FFF2-40B4-BE49-F238E27FC236}">
                <a16:creationId xmlns:a16="http://schemas.microsoft.com/office/drawing/2014/main" id="{97CBDE08-86F0-0F67-7D26-0715A14CF735}"/>
              </a:ext>
            </a:extLst>
          </xdr:cNvPr>
          <xdr:cNvSpPr/>
        </xdr:nvSpPr>
        <xdr:spPr>
          <a:xfrm>
            <a:off x="7816504" y="3838221"/>
            <a:ext cx="2139891" cy="388224"/>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Evaluer les risques</a:t>
            </a:r>
          </a:p>
        </xdr:txBody>
      </xdr:sp>
    </xdr:grpSp>
    <xdr:clientData/>
  </xdr:twoCellAnchor>
  <xdr:twoCellAnchor>
    <xdr:from>
      <xdr:col>2</xdr:col>
      <xdr:colOff>721781</xdr:colOff>
      <xdr:row>48</xdr:row>
      <xdr:rowOff>142664</xdr:rowOff>
    </xdr:from>
    <xdr:to>
      <xdr:col>8</xdr:col>
      <xdr:colOff>137355</xdr:colOff>
      <xdr:row>54</xdr:row>
      <xdr:rowOff>117874</xdr:rowOff>
    </xdr:to>
    <xdr:grpSp>
      <xdr:nvGrpSpPr>
        <xdr:cNvPr id="10" name="Groupe 9">
          <a:extLst>
            <a:ext uri="{FF2B5EF4-FFF2-40B4-BE49-F238E27FC236}">
              <a16:creationId xmlns:a16="http://schemas.microsoft.com/office/drawing/2014/main" id="{1A52EF84-C65D-49C1-A1AA-0982E09B674E}"/>
            </a:ext>
          </a:extLst>
        </xdr:cNvPr>
        <xdr:cNvGrpSpPr/>
      </xdr:nvGrpSpPr>
      <xdr:grpSpPr>
        <a:xfrm>
          <a:off x="1083731" y="8886614"/>
          <a:ext cx="4959124" cy="1003910"/>
          <a:chOff x="1800118" y="3841071"/>
          <a:chExt cx="7956464" cy="2448112"/>
        </a:xfrm>
      </xdr:grpSpPr>
      <xdr:grpSp>
        <xdr:nvGrpSpPr>
          <xdr:cNvPr id="11" name="Groupe 10">
            <a:extLst>
              <a:ext uri="{FF2B5EF4-FFF2-40B4-BE49-F238E27FC236}">
                <a16:creationId xmlns:a16="http://schemas.microsoft.com/office/drawing/2014/main" id="{562E27E4-8548-017B-BACC-F641F0EE7ECF}"/>
              </a:ext>
            </a:extLst>
          </xdr:cNvPr>
          <xdr:cNvGrpSpPr/>
        </xdr:nvGrpSpPr>
        <xdr:grpSpPr>
          <a:xfrm>
            <a:off x="4200240" y="4345223"/>
            <a:ext cx="3108070" cy="1584001"/>
            <a:chOff x="47625" y="47624"/>
            <a:chExt cx="1440000" cy="1440000"/>
          </a:xfrm>
        </xdr:grpSpPr>
        <xdr:sp macro="" textlink="">
          <xdr:nvSpPr>
            <xdr:cNvPr id="16" name="Rectangle 15">
              <a:extLst>
                <a:ext uri="{FF2B5EF4-FFF2-40B4-BE49-F238E27FC236}">
                  <a16:creationId xmlns:a16="http://schemas.microsoft.com/office/drawing/2014/main" id="{2A19DF7A-E24B-A123-9A02-5DAF2EE99EC5}"/>
                </a:ext>
              </a:extLst>
            </xdr:cNvPr>
            <xdr:cNvSpPr/>
          </xdr:nvSpPr>
          <xdr:spPr>
            <a:xfrm>
              <a:off x="47920" y="47920"/>
              <a:ext cx="1439545" cy="1439545"/>
            </a:xfrm>
            <a:prstGeom prst="rect">
              <a:avLst/>
            </a:prstGeom>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path path="circle">
                <a:fillToRect l="50000" t="50000" r="50000" b="50000"/>
              </a:path>
              <a:tileRect/>
            </a:gradFill>
            <a:ln>
              <a:noFill/>
            </a:ln>
            <a:effectLst/>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endParaRPr lang="fr-FR" sz="900"/>
            </a:p>
          </xdr:txBody>
        </xdr:sp>
        <xdr:cxnSp macro="">
          <xdr:nvCxnSpPr>
            <xdr:cNvPr id="17" name="Connecteur droit avec flèche 16">
              <a:extLst>
                <a:ext uri="{FF2B5EF4-FFF2-40B4-BE49-F238E27FC236}">
                  <a16:creationId xmlns:a16="http://schemas.microsoft.com/office/drawing/2014/main" id="{150076F1-3632-7459-3635-4948E0A4BEA3}"/>
                </a:ext>
              </a:extLst>
            </xdr:cNvPr>
            <xdr:cNvCxnSpPr/>
          </xdr:nvCxnSpPr>
          <xdr:spPr>
            <a:xfrm flipV="1">
              <a:off x="47625" y="47624"/>
              <a:ext cx="0" cy="1440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Connecteur droit avec flèche 17">
              <a:extLst>
                <a:ext uri="{FF2B5EF4-FFF2-40B4-BE49-F238E27FC236}">
                  <a16:creationId xmlns:a16="http://schemas.microsoft.com/office/drawing/2014/main" id="{0F1901EC-AC06-0D40-25DE-6FAA3C901D8C}"/>
                </a:ext>
              </a:extLst>
            </xdr:cNvPr>
            <xdr:cNvCxnSpPr/>
          </xdr:nvCxnSpPr>
          <xdr:spPr>
            <a:xfrm>
              <a:off x="47625" y="1487170"/>
              <a:ext cx="1440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Ellipse 18">
              <a:extLst>
                <a:ext uri="{FF2B5EF4-FFF2-40B4-BE49-F238E27FC236}">
                  <a16:creationId xmlns:a16="http://schemas.microsoft.com/office/drawing/2014/main" id="{517A3A34-9722-EB74-8E24-FECEE81030A8}"/>
                </a:ext>
              </a:extLst>
            </xdr:cNvPr>
            <xdr:cNvSpPr/>
          </xdr:nvSpPr>
          <xdr:spPr>
            <a:xfrm>
              <a:off x="47625" y="47624"/>
              <a:ext cx="1440000" cy="1440000"/>
            </a:xfrm>
            <a:prstGeom prst="ellipse">
              <a:avLst/>
            </a:prstGeom>
            <a:solidFill>
              <a:schemeClr val="bg1">
                <a:lumMod val="85000"/>
              </a:schemeClr>
            </a:solidFill>
            <a:ln>
              <a:solidFill>
                <a:schemeClr val="bg1">
                  <a:lumMod val="65000"/>
                </a:schemeClr>
              </a:solidFill>
            </a:ln>
            <a:effectLst/>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algn="ctr">
                <a:lnSpc>
                  <a:spcPct val="110000"/>
                </a:lnSpc>
                <a:spcAft>
                  <a:spcPts val="0"/>
                </a:spcAft>
              </a:pPr>
              <a:r>
                <a:rPr lang="fr-FR" sz="600">
                  <a:solidFill>
                    <a:srgbClr val="000000"/>
                  </a:solidFill>
                  <a:effectLst/>
                  <a:ea typeface="Calibri" panose="020F0502020204030204" pitchFamily="34" charset="0"/>
                  <a:cs typeface="Times New Roman" panose="02020603050405020304" pitchFamily="18" charset="0"/>
                </a:rPr>
                <a:t>Zone de risques</a:t>
              </a:r>
            </a:p>
          </xdr:txBody>
        </xdr:sp>
      </xdr:grpSp>
      <xdr:sp macro="" textlink="">
        <xdr:nvSpPr>
          <xdr:cNvPr id="12" name="Légende à une bordure 1 15">
            <a:extLst>
              <a:ext uri="{FF2B5EF4-FFF2-40B4-BE49-F238E27FC236}">
                <a16:creationId xmlns:a16="http://schemas.microsoft.com/office/drawing/2014/main" id="{BB90F0FE-2043-0112-0EE5-D1E1D960BB52}"/>
              </a:ext>
            </a:extLst>
          </xdr:cNvPr>
          <xdr:cNvSpPr/>
        </xdr:nvSpPr>
        <xdr:spPr>
          <a:xfrm flipH="1">
            <a:off x="1800118" y="3841071"/>
            <a:ext cx="1980000" cy="720000"/>
          </a:xfrm>
          <a:prstGeom prst="accentCallout1">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algn="r" defTabSz="540000">
              <a:buClr>
                <a:srgbClr val="7030A0"/>
              </a:buClr>
            </a:pPr>
            <a:r>
              <a:rPr lang="fr-FR" sz="700" b="1">
                <a:solidFill>
                  <a:srgbClr val="000000"/>
                </a:solidFill>
              </a:rPr>
              <a:t>Les risques de fréquence élevée ne se gèrent pas</a:t>
            </a:r>
            <a:r>
              <a:rPr lang="fr-FR" sz="700" b="1"/>
              <a:t>.</a:t>
            </a:r>
            <a:br>
              <a:rPr lang="fr-FR" sz="700" i="1"/>
            </a:br>
            <a:r>
              <a:rPr lang="fr-FR" sz="700" i="1">
                <a:solidFill>
                  <a:srgbClr val="002060"/>
                </a:solidFill>
              </a:rPr>
              <a:t>Ce sont des problèmes qui doivent être résolus </a:t>
            </a:r>
          </a:p>
        </xdr:txBody>
      </xdr:sp>
      <xdr:sp macro="" textlink="">
        <xdr:nvSpPr>
          <xdr:cNvPr id="13" name="Légende à une bordure 1 16">
            <a:extLst>
              <a:ext uri="{FF2B5EF4-FFF2-40B4-BE49-F238E27FC236}">
                <a16:creationId xmlns:a16="http://schemas.microsoft.com/office/drawing/2014/main" id="{FD3531F6-0C0C-6FBD-4D7A-E592C64B6305}"/>
              </a:ext>
            </a:extLst>
          </xdr:cNvPr>
          <xdr:cNvSpPr/>
        </xdr:nvSpPr>
        <xdr:spPr>
          <a:xfrm flipH="1">
            <a:off x="1800118" y="5569183"/>
            <a:ext cx="1980000" cy="720000"/>
          </a:xfrm>
          <a:prstGeom prst="accentCallout1">
            <a:avLst>
              <a:gd name="adj1" fmla="val 77604"/>
              <a:gd name="adj2" fmla="val -8333"/>
              <a:gd name="adj3" fmla="val -5207"/>
              <a:gd name="adj4" fmla="val -32138"/>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algn="r" defTabSz="540000">
              <a:buClr>
                <a:srgbClr val="7030A0"/>
              </a:buClr>
            </a:pPr>
            <a:r>
              <a:rPr lang="fr-FR" sz="700" b="1">
                <a:solidFill>
                  <a:srgbClr val="000000"/>
                </a:solidFill>
              </a:rPr>
              <a:t>Les risques négligeables ne se gèrent pas</a:t>
            </a:r>
          </a:p>
          <a:p>
            <a:pPr marL="0" lvl="1" algn="r" defTabSz="540000">
              <a:buClr>
                <a:srgbClr val="7030A0"/>
              </a:buClr>
            </a:pPr>
            <a:r>
              <a:rPr lang="fr-FR" sz="700" i="1">
                <a:solidFill>
                  <a:srgbClr val="002060"/>
                </a:solidFill>
              </a:rPr>
              <a:t>On les ignore</a:t>
            </a:r>
          </a:p>
        </xdr:txBody>
      </xdr:sp>
      <xdr:sp macro="" textlink="">
        <xdr:nvSpPr>
          <xdr:cNvPr id="14" name="Légende à une bordure 1 17">
            <a:extLst>
              <a:ext uri="{FF2B5EF4-FFF2-40B4-BE49-F238E27FC236}">
                <a16:creationId xmlns:a16="http://schemas.microsoft.com/office/drawing/2014/main" id="{8E2A5692-3C47-55A9-3702-52B8C80D0A13}"/>
              </a:ext>
            </a:extLst>
          </xdr:cNvPr>
          <xdr:cNvSpPr/>
        </xdr:nvSpPr>
        <xdr:spPr>
          <a:xfrm>
            <a:off x="7776582" y="3841071"/>
            <a:ext cx="1980000" cy="720000"/>
          </a:xfrm>
          <a:prstGeom prst="accentCallout1">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defTabSz="540000">
              <a:buClr>
                <a:srgbClr val="7030A0"/>
              </a:buClr>
            </a:pPr>
            <a:r>
              <a:rPr lang="fr-FR" sz="700" b="1">
                <a:solidFill>
                  <a:srgbClr val="000000"/>
                </a:solidFill>
              </a:rPr>
              <a:t>Les risques intolérables ne se gèrent pas.</a:t>
            </a:r>
          </a:p>
          <a:p>
            <a:pPr marL="0" lvl="1" defTabSz="540000">
              <a:buClr>
                <a:srgbClr val="7030A0"/>
              </a:buClr>
            </a:pPr>
            <a:r>
              <a:rPr lang="fr-FR" sz="700" i="1">
                <a:solidFill>
                  <a:srgbClr val="002060"/>
                </a:solidFill>
              </a:rPr>
              <a:t>Il faut changer de projet</a:t>
            </a:r>
          </a:p>
        </xdr:txBody>
      </xdr:sp>
      <xdr:sp macro="" textlink="">
        <xdr:nvSpPr>
          <xdr:cNvPr id="15" name="Légende à une bordure 1 18">
            <a:extLst>
              <a:ext uri="{FF2B5EF4-FFF2-40B4-BE49-F238E27FC236}">
                <a16:creationId xmlns:a16="http://schemas.microsoft.com/office/drawing/2014/main" id="{8649EE28-C513-95C3-3C4E-09432A92CFFE}"/>
              </a:ext>
            </a:extLst>
          </xdr:cNvPr>
          <xdr:cNvSpPr/>
        </xdr:nvSpPr>
        <xdr:spPr>
          <a:xfrm>
            <a:off x="7776582" y="5569183"/>
            <a:ext cx="1980000" cy="720000"/>
          </a:xfrm>
          <a:prstGeom prst="accentCallout1">
            <a:avLst>
              <a:gd name="adj1" fmla="val 77604"/>
              <a:gd name="adj2" fmla="val -8333"/>
              <a:gd name="adj3" fmla="val -5207"/>
              <a:gd name="adj4" fmla="val -32138"/>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defTabSz="540000">
              <a:buClr>
                <a:srgbClr val="7030A0"/>
              </a:buClr>
            </a:pPr>
            <a:r>
              <a:rPr lang="fr-FR" sz="700" b="1">
                <a:solidFill>
                  <a:srgbClr val="000000"/>
                </a:solidFill>
              </a:rPr>
              <a:t>Les risques de gravité ne se gèrent pas. </a:t>
            </a:r>
          </a:p>
          <a:p>
            <a:pPr marL="0" lvl="1" defTabSz="540000">
              <a:buClr>
                <a:srgbClr val="7030A0"/>
              </a:buClr>
            </a:pPr>
            <a:r>
              <a:rPr lang="fr-FR" sz="700" i="1">
                <a:solidFill>
                  <a:srgbClr val="002060"/>
                </a:solidFill>
              </a:rPr>
              <a:t>Il faut vivre avec </a:t>
            </a:r>
          </a:p>
        </xdr:txBody>
      </xdr:sp>
    </xdr:grpSp>
    <xdr:clientData/>
  </xdr:twoCellAnchor>
  <xdr:twoCellAnchor>
    <xdr:from>
      <xdr:col>3</xdr:col>
      <xdr:colOff>218993</xdr:colOff>
      <xdr:row>60</xdr:row>
      <xdr:rowOff>148449</xdr:rowOff>
    </xdr:from>
    <xdr:to>
      <xdr:col>8</xdr:col>
      <xdr:colOff>30536</xdr:colOff>
      <xdr:row>64</xdr:row>
      <xdr:rowOff>3678</xdr:rowOff>
    </xdr:to>
    <xdr:grpSp>
      <xdr:nvGrpSpPr>
        <xdr:cNvPr id="20" name="Groupe 19">
          <a:extLst>
            <a:ext uri="{FF2B5EF4-FFF2-40B4-BE49-F238E27FC236}">
              <a16:creationId xmlns:a16="http://schemas.microsoft.com/office/drawing/2014/main" id="{7883FCD0-2657-4C2A-84CD-959B175B0202}"/>
            </a:ext>
          </a:extLst>
        </xdr:cNvPr>
        <xdr:cNvGrpSpPr/>
      </xdr:nvGrpSpPr>
      <xdr:grpSpPr>
        <a:xfrm>
          <a:off x="1504868" y="10949799"/>
          <a:ext cx="4431168" cy="541029"/>
          <a:chOff x="1291734" y="2314363"/>
          <a:chExt cx="8819348" cy="936000"/>
        </a:xfrm>
      </xdr:grpSpPr>
      <xdr:sp macro="" textlink="">
        <xdr:nvSpPr>
          <xdr:cNvPr id="21" name="Rectangle à coins arrondis 27">
            <a:extLst>
              <a:ext uri="{FF2B5EF4-FFF2-40B4-BE49-F238E27FC236}">
                <a16:creationId xmlns:a16="http://schemas.microsoft.com/office/drawing/2014/main" id="{A4949EDC-EAE0-1E49-E7D5-310D2FC93457}"/>
              </a:ext>
            </a:extLst>
          </xdr:cNvPr>
          <xdr:cNvSpPr/>
        </xdr:nvSpPr>
        <xdr:spPr>
          <a:xfrm rot="10800000" flipV="1">
            <a:off x="1291734" y="2472500"/>
            <a:ext cx="2186117" cy="619725"/>
          </a:xfrm>
          <a:prstGeom prst="roundRect">
            <a:avLst/>
          </a:prstGeom>
          <a:solidFill>
            <a:srgbClr val="F39C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rgbClr val="000000"/>
                </a:solidFill>
              </a:rPr>
              <a:t>Définir votre </a:t>
            </a:r>
          </a:p>
          <a:p>
            <a:pPr algn="ctr"/>
            <a:r>
              <a:rPr lang="fr-FR" sz="900">
                <a:solidFill>
                  <a:srgbClr val="000000"/>
                </a:solidFill>
              </a:rPr>
              <a:t>plan d’actions</a:t>
            </a:r>
          </a:p>
        </xdr:txBody>
      </xdr:sp>
      <xdr:sp macro="" textlink="">
        <xdr:nvSpPr>
          <xdr:cNvPr id="22" name="Légende à une bordure 1 28">
            <a:extLst>
              <a:ext uri="{FF2B5EF4-FFF2-40B4-BE49-F238E27FC236}">
                <a16:creationId xmlns:a16="http://schemas.microsoft.com/office/drawing/2014/main" id="{990FFD98-CF19-023C-FE51-6119F7F47710}"/>
              </a:ext>
            </a:extLst>
          </xdr:cNvPr>
          <xdr:cNvSpPr/>
        </xdr:nvSpPr>
        <xdr:spPr>
          <a:xfrm>
            <a:off x="4603082" y="2314363"/>
            <a:ext cx="5508000" cy="936000"/>
          </a:xfrm>
          <a:prstGeom prst="accentCallout1">
            <a:avLst>
              <a:gd name="adj1" fmla="val 49829"/>
              <a:gd name="adj2" fmla="val -6771"/>
              <a:gd name="adj3" fmla="val 50027"/>
              <a:gd name="adj4" fmla="val -18419"/>
            </a:avLst>
          </a:prstGeom>
          <a:solidFill>
            <a:srgbClr val="F9CE87"/>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800">
                <a:solidFill>
                  <a:srgbClr val="000000"/>
                </a:solidFill>
              </a:rPr>
              <a:t>Définir une ou des actions pour chaque risque situé au-dessus du seuil</a:t>
            </a:r>
          </a:p>
          <a:p>
            <a:pPr marL="180000" indent="-180000">
              <a:buFont typeface="Arial" panose="020B0604020202020204" pitchFamily="34" charset="0"/>
              <a:buChar char="•"/>
            </a:pPr>
            <a:r>
              <a:rPr lang="fr-FR" sz="800">
                <a:solidFill>
                  <a:srgbClr val="000000"/>
                </a:solidFill>
              </a:rPr>
              <a:t>Nommer un responsable de l’action</a:t>
            </a:r>
          </a:p>
          <a:p>
            <a:pPr marL="180000" indent="-180000">
              <a:buFont typeface="Arial" panose="020B0604020202020204" pitchFamily="34" charset="0"/>
              <a:buChar char="•"/>
            </a:pPr>
            <a:r>
              <a:rPr lang="fr-FR" sz="800">
                <a:solidFill>
                  <a:srgbClr val="000000"/>
                </a:solidFill>
              </a:rPr>
              <a:t>Déterminer le délai de réalisation</a:t>
            </a:r>
          </a:p>
        </xdr:txBody>
      </xdr:sp>
    </xdr:grpSp>
    <xdr:clientData/>
  </xdr:twoCellAnchor>
  <xdr:twoCellAnchor>
    <xdr:from>
      <xdr:col>3</xdr:col>
      <xdr:colOff>190500</xdr:colOff>
      <xdr:row>57</xdr:row>
      <xdr:rowOff>80857</xdr:rowOff>
    </xdr:from>
    <xdr:to>
      <xdr:col>8</xdr:col>
      <xdr:colOff>6491</xdr:colOff>
      <xdr:row>60</xdr:row>
      <xdr:rowOff>74500</xdr:rowOff>
    </xdr:to>
    <xdr:grpSp>
      <xdr:nvGrpSpPr>
        <xdr:cNvPr id="23" name="Groupe 22">
          <a:extLst>
            <a:ext uri="{FF2B5EF4-FFF2-40B4-BE49-F238E27FC236}">
              <a16:creationId xmlns:a16="http://schemas.microsoft.com/office/drawing/2014/main" id="{02F2A9E3-660E-43CC-A5E2-8F5BDBC7322B}"/>
            </a:ext>
          </a:extLst>
        </xdr:cNvPr>
        <xdr:cNvGrpSpPr/>
      </xdr:nvGrpSpPr>
      <xdr:grpSpPr>
        <a:xfrm>
          <a:off x="1476375" y="10367857"/>
          <a:ext cx="4435616" cy="507993"/>
          <a:chOff x="1266999" y="2314363"/>
          <a:chExt cx="8844083" cy="900000"/>
        </a:xfrm>
      </xdr:grpSpPr>
      <xdr:sp macro="" textlink="">
        <xdr:nvSpPr>
          <xdr:cNvPr id="24" name="Rectangle à coins arrondis 30">
            <a:extLst>
              <a:ext uri="{FF2B5EF4-FFF2-40B4-BE49-F238E27FC236}">
                <a16:creationId xmlns:a16="http://schemas.microsoft.com/office/drawing/2014/main" id="{7F591456-9DA0-1359-BA70-287B8F5DB971}"/>
              </a:ext>
            </a:extLst>
          </xdr:cNvPr>
          <xdr:cNvSpPr/>
        </xdr:nvSpPr>
        <xdr:spPr>
          <a:xfrm rot="10800000" flipV="1">
            <a:off x="1266999" y="2454500"/>
            <a:ext cx="2186117" cy="619725"/>
          </a:xfrm>
          <a:prstGeom prst="roundRect">
            <a:avLst/>
          </a:prstGeom>
          <a:solidFill>
            <a:srgbClr val="F39C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rgbClr val="000000"/>
                </a:solidFill>
              </a:rPr>
              <a:t>Analyser vos risques</a:t>
            </a:r>
          </a:p>
        </xdr:txBody>
      </xdr:sp>
      <xdr:sp macro="" textlink="">
        <xdr:nvSpPr>
          <xdr:cNvPr id="25" name="Légende à une bordure 1 31">
            <a:extLst>
              <a:ext uri="{FF2B5EF4-FFF2-40B4-BE49-F238E27FC236}">
                <a16:creationId xmlns:a16="http://schemas.microsoft.com/office/drawing/2014/main" id="{80AC947A-9B9E-7952-C8B5-2CE6E67D4ABD}"/>
              </a:ext>
            </a:extLst>
          </xdr:cNvPr>
          <xdr:cNvSpPr/>
        </xdr:nvSpPr>
        <xdr:spPr>
          <a:xfrm>
            <a:off x="4603082" y="2314363"/>
            <a:ext cx="5508000" cy="900000"/>
          </a:xfrm>
          <a:prstGeom prst="accentCallout1">
            <a:avLst>
              <a:gd name="adj1" fmla="val 49829"/>
              <a:gd name="adj2" fmla="val -6771"/>
              <a:gd name="adj3" fmla="val 50027"/>
              <a:gd name="adj4" fmla="val -18419"/>
            </a:avLst>
          </a:prstGeom>
          <a:solidFill>
            <a:srgbClr val="F9CE87"/>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800">
                <a:solidFill>
                  <a:srgbClr val="000000"/>
                </a:solidFill>
              </a:rPr>
              <a:t>Remonter aux causes</a:t>
            </a:r>
          </a:p>
          <a:p>
            <a:pPr marL="180000" indent="-180000">
              <a:buFont typeface="Arial" panose="020B0604020202020204" pitchFamily="34" charset="0"/>
              <a:buChar char="•"/>
            </a:pPr>
            <a:r>
              <a:rPr lang="fr-FR" sz="800">
                <a:solidFill>
                  <a:srgbClr val="000000"/>
                </a:solidFill>
              </a:rPr>
              <a:t>Diagramme cause-effet</a:t>
            </a:r>
          </a:p>
          <a:p>
            <a:pPr marL="180000" indent="-180000">
              <a:buFont typeface="Arial" panose="020B0604020202020204" pitchFamily="34" charset="0"/>
              <a:buChar char="•"/>
            </a:pPr>
            <a:r>
              <a:rPr lang="fr-FR" sz="800">
                <a:solidFill>
                  <a:srgbClr val="000000"/>
                </a:solidFill>
              </a:rPr>
              <a:t>Arbre des causes</a:t>
            </a:r>
          </a:p>
        </xdr:txBody>
      </xdr:sp>
    </xdr:grpSp>
    <xdr:clientData/>
  </xdr:twoCellAnchor>
  <xdr:twoCellAnchor>
    <xdr:from>
      <xdr:col>3</xdr:col>
      <xdr:colOff>194146</xdr:colOff>
      <xdr:row>64</xdr:row>
      <xdr:rowOff>34996</xdr:rowOff>
    </xdr:from>
    <xdr:to>
      <xdr:col>8</xdr:col>
      <xdr:colOff>31260</xdr:colOff>
      <xdr:row>68</xdr:row>
      <xdr:rowOff>3245</xdr:rowOff>
    </xdr:to>
    <xdr:grpSp>
      <xdr:nvGrpSpPr>
        <xdr:cNvPr id="26" name="Groupe 25">
          <a:extLst>
            <a:ext uri="{FF2B5EF4-FFF2-40B4-BE49-F238E27FC236}">
              <a16:creationId xmlns:a16="http://schemas.microsoft.com/office/drawing/2014/main" id="{6FDA8631-8F1A-42EB-912A-723CC048043D}"/>
            </a:ext>
          </a:extLst>
        </xdr:cNvPr>
        <xdr:cNvGrpSpPr/>
      </xdr:nvGrpSpPr>
      <xdr:grpSpPr>
        <a:xfrm>
          <a:off x="1480021" y="11522146"/>
          <a:ext cx="4456739" cy="654049"/>
          <a:chOff x="1261953" y="2314363"/>
          <a:chExt cx="8849129" cy="936000"/>
        </a:xfrm>
      </xdr:grpSpPr>
      <xdr:sp macro="" textlink="">
        <xdr:nvSpPr>
          <xdr:cNvPr id="27" name="Rectangle à coins arrondis 33">
            <a:extLst>
              <a:ext uri="{FF2B5EF4-FFF2-40B4-BE49-F238E27FC236}">
                <a16:creationId xmlns:a16="http://schemas.microsoft.com/office/drawing/2014/main" id="{72EC3E38-57FE-22E5-3A89-7719E74D6244}"/>
              </a:ext>
            </a:extLst>
          </xdr:cNvPr>
          <xdr:cNvSpPr/>
        </xdr:nvSpPr>
        <xdr:spPr>
          <a:xfrm rot="10800000" flipV="1">
            <a:off x="1261953" y="2472500"/>
            <a:ext cx="2186117" cy="619725"/>
          </a:xfrm>
          <a:prstGeom prst="roundRect">
            <a:avLst/>
          </a:prstGeom>
          <a:solidFill>
            <a:srgbClr val="F39C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rgbClr val="000000"/>
                </a:solidFill>
              </a:rPr>
              <a:t>Identifier </a:t>
            </a:r>
          </a:p>
          <a:p>
            <a:pPr algn="ctr"/>
            <a:r>
              <a:rPr lang="fr-FR" sz="900">
                <a:solidFill>
                  <a:srgbClr val="000000"/>
                </a:solidFill>
              </a:rPr>
              <a:t>les points critiques</a:t>
            </a:r>
          </a:p>
        </xdr:txBody>
      </xdr:sp>
      <xdr:sp macro="" textlink="">
        <xdr:nvSpPr>
          <xdr:cNvPr id="28" name="Légende à une bordure 1 34">
            <a:extLst>
              <a:ext uri="{FF2B5EF4-FFF2-40B4-BE49-F238E27FC236}">
                <a16:creationId xmlns:a16="http://schemas.microsoft.com/office/drawing/2014/main" id="{F4FC896D-252C-0A7A-522C-C51ED4ED2D1A}"/>
              </a:ext>
            </a:extLst>
          </xdr:cNvPr>
          <xdr:cNvSpPr/>
        </xdr:nvSpPr>
        <xdr:spPr>
          <a:xfrm>
            <a:off x="4603082" y="2314363"/>
            <a:ext cx="5508000" cy="936000"/>
          </a:xfrm>
          <a:prstGeom prst="accentCallout1">
            <a:avLst>
              <a:gd name="adj1" fmla="val 49829"/>
              <a:gd name="adj2" fmla="val -6771"/>
              <a:gd name="adj3" fmla="val 50027"/>
              <a:gd name="adj4" fmla="val -18419"/>
            </a:avLst>
          </a:prstGeom>
          <a:solidFill>
            <a:srgbClr val="F9CE87"/>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800">
                <a:solidFill>
                  <a:srgbClr val="000000"/>
                </a:solidFill>
              </a:rPr>
              <a:t>Lieux et/ou moment où la probabilité et/ou la gravité sont les plus importants, les instants du déroulement où il faudra redoubler de vigilance</a:t>
            </a:r>
          </a:p>
        </xdr:txBody>
      </xdr:sp>
    </xdr:grpSp>
    <xdr:clientData/>
  </xdr:twoCellAnchor>
  <xdr:twoCellAnchor>
    <xdr:from>
      <xdr:col>3</xdr:col>
      <xdr:colOff>411691</xdr:colOff>
      <xdr:row>74</xdr:row>
      <xdr:rowOff>33941</xdr:rowOff>
    </xdr:from>
    <xdr:to>
      <xdr:col>8</xdr:col>
      <xdr:colOff>138408</xdr:colOff>
      <xdr:row>77</xdr:row>
      <xdr:rowOff>3</xdr:rowOff>
    </xdr:to>
    <xdr:grpSp>
      <xdr:nvGrpSpPr>
        <xdr:cNvPr id="29" name="Groupe 28">
          <a:extLst>
            <a:ext uri="{FF2B5EF4-FFF2-40B4-BE49-F238E27FC236}">
              <a16:creationId xmlns:a16="http://schemas.microsoft.com/office/drawing/2014/main" id="{3C7A2A2C-F598-4B81-AA0E-D4309A757E84}"/>
            </a:ext>
          </a:extLst>
        </xdr:cNvPr>
        <xdr:cNvGrpSpPr/>
      </xdr:nvGrpSpPr>
      <xdr:grpSpPr>
        <a:xfrm>
          <a:off x="1697566" y="13235591"/>
          <a:ext cx="4346342" cy="480412"/>
          <a:chOff x="1714674" y="2314363"/>
          <a:chExt cx="8104624" cy="652464"/>
        </a:xfrm>
      </xdr:grpSpPr>
      <xdr:sp macro="" textlink="">
        <xdr:nvSpPr>
          <xdr:cNvPr id="30" name="Rectangle à coins arrondis 8">
            <a:extLst>
              <a:ext uri="{FF2B5EF4-FFF2-40B4-BE49-F238E27FC236}">
                <a16:creationId xmlns:a16="http://schemas.microsoft.com/office/drawing/2014/main" id="{4EDF18DF-DDCE-13BD-BD4D-5EF711D9FE58}"/>
              </a:ext>
            </a:extLst>
          </xdr:cNvPr>
          <xdr:cNvSpPr/>
        </xdr:nvSpPr>
        <xdr:spPr>
          <a:xfrm rot="10800000" flipV="1">
            <a:off x="1714674" y="2314363"/>
            <a:ext cx="2186117" cy="619725"/>
          </a:xfrm>
          <a:prstGeom prst="roundRect">
            <a:avLst/>
          </a:prstGeom>
          <a:solidFill>
            <a:srgbClr val="C039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Le but du suivi </a:t>
            </a:r>
          </a:p>
          <a:p>
            <a:pPr algn="ctr"/>
            <a:r>
              <a:rPr lang="fr-FR" sz="900">
                <a:solidFill>
                  <a:schemeClr val="bg1"/>
                </a:solidFill>
              </a:rPr>
              <a:t>des actions est de :</a:t>
            </a:r>
          </a:p>
        </xdr:txBody>
      </xdr:sp>
      <xdr:sp macro="" textlink="">
        <xdr:nvSpPr>
          <xdr:cNvPr id="31" name="Légende à une bordure 1 10">
            <a:extLst>
              <a:ext uri="{FF2B5EF4-FFF2-40B4-BE49-F238E27FC236}">
                <a16:creationId xmlns:a16="http://schemas.microsoft.com/office/drawing/2014/main" id="{E28C432B-AF49-6D5B-08DA-B011663F64E3}"/>
              </a:ext>
            </a:extLst>
          </xdr:cNvPr>
          <xdr:cNvSpPr/>
        </xdr:nvSpPr>
        <xdr:spPr>
          <a:xfrm>
            <a:off x="4603083" y="2314363"/>
            <a:ext cx="5216215" cy="652464"/>
          </a:xfrm>
          <a:prstGeom prst="accentCallout1">
            <a:avLst>
              <a:gd name="adj1" fmla="val 49829"/>
              <a:gd name="adj2" fmla="val -2936"/>
              <a:gd name="adj3" fmla="val 50027"/>
              <a:gd name="adj4" fmla="val -11845"/>
            </a:avLst>
          </a:prstGeom>
          <a:solidFill>
            <a:srgbClr val="EDB7B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S’assurer que la ou les actions ont été mises en place</a:t>
            </a:r>
          </a:p>
          <a:p>
            <a:pPr marL="180000" indent="-180000">
              <a:buFont typeface="Arial" panose="020B0604020202020204" pitchFamily="34" charset="0"/>
              <a:buChar char="•"/>
            </a:pPr>
            <a:r>
              <a:rPr lang="fr-FR" sz="900">
                <a:solidFill>
                  <a:srgbClr val="000000"/>
                </a:solidFill>
              </a:rPr>
              <a:t>Définir d’autres actions si nécessaire</a:t>
            </a:r>
          </a:p>
        </xdr:txBody>
      </xdr:sp>
    </xdr:grpSp>
    <xdr:clientData/>
  </xdr:twoCellAnchor>
  <xdr:twoCellAnchor>
    <xdr:from>
      <xdr:col>3</xdr:col>
      <xdr:colOff>386722</xdr:colOff>
      <xdr:row>77</xdr:row>
      <xdr:rowOff>33875</xdr:rowOff>
    </xdr:from>
    <xdr:to>
      <xdr:col>8</xdr:col>
      <xdr:colOff>138408</xdr:colOff>
      <xdr:row>80</xdr:row>
      <xdr:rowOff>143335</xdr:rowOff>
    </xdr:to>
    <xdr:grpSp>
      <xdr:nvGrpSpPr>
        <xdr:cNvPr id="32" name="Groupe 31">
          <a:extLst>
            <a:ext uri="{FF2B5EF4-FFF2-40B4-BE49-F238E27FC236}">
              <a16:creationId xmlns:a16="http://schemas.microsoft.com/office/drawing/2014/main" id="{1D9ED0F0-DEB2-4DB0-AAAE-5A2E7A9A5A4D}"/>
            </a:ext>
          </a:extLst>
        </xdr:cNvPr>
        <xdr:cNvGrpSpPr/>
      </xdr:nvGrpSpPr>
      <xdr:grpSpPr>
        <a:xfrm>
          <a:off x="1672597" y="13749875"/>
          <a:ext cx="4371311" cy="623810"/>
          <a:chOff x="1698094" y="2289195"/>
          <a:chExt cx="8121204" cy="778669"/>
        </a:xfrm>
      </xdr:grpSpPr>
      <xdr:sp macro="" textlink="">
        <xdr:nvSpPr>
          <xdr:cNvPr id="33" name="Rectangle à coins arrondis 12">
            <a:extLst>
              <a:ext uri="{FF2B5EF4-FFF2-40B4-BE49-F238E27FC236}">
                <a16:creationId xmlns:a16="http://schemas.microsoft.com/office/drawing/2014/main" id="{F03025DA-57E1-5F2A-2F1D-AABCEAEE80CF}"/>
              </a:ext>
            </a:extLst>
          </xdr:cNvPr>
          <xdr:cNvSpPr/>
        </xdr:nvSpPr>
        <xdr:spPr>
          <a:xfrm rot="10800000" flipV="1">
            <a:off x="1698094" y="2289195"/>
            <a:ext cx="2186117" cy="778669"/>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La réévaluation des risques permet de s’assurer de :</a:t>
            </a:r>
          </a:p>
        </xdr:txBody>
      </xdr:sp>
      <xdr:sp macro="" textlink="">
        <xdr:nvSpPr>
          <xdr:cNvPr id="34" name="Légende à une bordure 1 13">
            <a:extLst>
              <a:ext uri="{FF2B5EF4-FFF2-40B4-BE49-F238E27FC236}">
                <a16:creationId xmlns:a16="http://schemas.microsoft.com/office/drawing/2014/main" id="{43789801-E492-E3A5-B367-AAD1FCBA2272}"/>
              </a:ext>
            </a:extLst>
          </xdr:cNvPr>
          <xdr:cNvSpPr/>
        </xdr:nvSpPr>
        <xdr:spPr>
          <a:xfrm>
            <a:off x="4603083" y="2314363"/>
            <a:ext cx="5216215" cy="652464"/>
          </a:xfrm>
          <a:prstGeom prst="accentCallout1">
            <a:avLst>
              <a:gd name="adj1" fmla="val 49829"/>
              <a:gd name="adj2" fmla="val -2936"/>
              <a:gd name="adj3" fmla="val 50027"/>
              <a:gd name="adj4" fmla="val -11845"/>
            </a:avLst>
          </a:prstGeom>
          <a:solidFill>
            <a:srgbClr val="DAC2EC"/>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L’efficacité des actions</a:t>
            </a:r>
          </a:p>
          <a:p>
            <a:pPr marL="180000" indent="-180000">
              <a:buFont typeface="Arial" panose="020B0604020202020204" pitchFamily="34" charset="0"/>
              <a:buChar char="•"/>
            </a:pPr>
            <a:r>
              <a:rPr lang="fr-FR" sz="900">
                <a:solidFill>
                  <a:srgbClr val="000000"/>
                </a:solidFill>
              </a:rPr>
              <a:t>La maîtrise des risques</a:t>
            </a:r>
          </a:p>
        </xdr:txBody>
      </xdr:sp>
    </xdr:grpSp>
    <xdr:clientData/>
  </xdr:twoCellAnchor>
  <xdr:twoCellAnchor>
    <xdr:from>
      <xdr:col>3</xdr:col>
      <xdr:colOff>386722</xdr:colOff>
      <xdr:row>80</xdr:row>
      <xdr:rowOff>142667</xdr:rowOff>
    </xdr:from>
    <xdr:to>
      <xdr:col>8</xdr:col>
      <xdr:colOff>138408</xdr:colOff>
      <xdr:row>83</xdr:row>
      <xdr:rowOff>141951</xdr:rowOff>
    </xdr:to>
    <xdr:grpSp>
      <xdr:nvGrpSpPr>
        <xdr:cNvPr id="35" name="Groupe 34">
          <a:extLst>
            <a:ext uri="{FF2B5EF4-FFF2-40B4-BE49-F238E27FC236}">
              <a16:creationId xmlns:a16="http://schemas.microsoft.com/office/drawing/2014/main" id="{9B914793-3F8E-4FF1-AE7B-F8C25F038806}"/>
            </a:ext>
          </a:extLst>
        </xdr:cNvPr>
        <xdr:cNvGrpSpPr/>
      </xdr:nvGrpSpPr>
      <xdr:grpSpPr>
        <a:xfrm>
          <a:off x="1672597" y="14373017"/>
          <a:ext cx="4371311" cy="513634"/>
          <a:chOff x="1613330" y="2314363"/>
          <a:chExt cx="8121205" cy="778669"/>
        </a:xfrm>
      </xdr:grpSpPr>
      <xdr:sp macro="" textlink="">
        <xdr:nvSpPr>
          <xdr:cNvPr id="36" name="Rectangle à coins arrondis 16">
            <a:extLst>
              <a:ext uri="{FF2B5EF4-FFF2-40B4-BE49-F238E27FC236}">
                <a16:creationId xmlns:a16="http://schemas.microsoft.com/office/drawing/2014/main" id="{169C2E0B-5D5D-376F-ADE2-08B1FCC3DEAC}"/>
              </a:ext>
            </a:extLst>
          </xdr:cNvPr>
          <xdr:cNvSpPr/>
        </xdr:nvSpPr>
        <xdr:spPr>
          <a:xfrm rot="10800000" flipV="1">
            <a:off x="1613330" y="2314363"/>
            <a:ext cx="2186117" cy="778669"/>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La réévaluation permet aussi de :</a:t>
            </a:r>
          </a:p>
        </xdr:txBody>
      </xdr:sp>
      <xdr:sp macro="" textlink="">
        <xdr:nvSpPr>
          <xdr:cNvPr id="37" name="Légende à une bordure 1 17">
            <a:extLst>
              <a:ext uri="{FF2B5EF4-FFF2-40B4-BE49-F238E27FC236}">
                <a16:creationId xmlns:a16="http://schemas.microsoft.com/office/drawing/2014/main" id="{C60A50C8-5C68-8A2D-5EB0-DD6B1D149416}"/>
              </a:ext>
            </a:extLst>
          </xdr:cNvPr>
          <xdr:cNvSpPr/>
        </xdr:nvSpPr>
        <xdr:spPr>
          <a:xfrm>
            <a:off x="4518320" y="2314363"/>
            <a:ext cx="5216215" cy="652464"/>
          </a:xfrm>
          <a:prstGeom prst="accentCallout1">
            <a:avLst>
              <a:gd name="adj1" fmla="val 49829"/>
              <a:gd name="adj2" fmla="val -2936"/>
              <a:gd name="adj3" fmla="val 50027"/>
              <a:gd name="adj4" fmla="val -11845"/>
            </a:avLst>
          </a:prstGeom>
          <a:solidFill>
            <a:srgbClr val="DAC2EC"/>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Diminuer la criticité du risque</a:t>
            </a:r>
          </a:p>
          <a:p>
            <a:pPr marL="180000" indent="-180000">
              <a:buFont typeface="Arial" panose="020B0604020202020204" pitchFamily="34" charset="0"/>
              <a:buChar char="•"/>
            </a:pPr>
            <a:r>
              <a:rPr lang="fr-FR" sz="900">
                <a:solidFill>
                  <a:srgbClr val="000000"/>
                </a:solidFill>
              </a:rPr>
              <a:t>Augmenter la criticité du risque</a:t>
            </a:r>
          </a:p>
        </xdr:txBody>
      </xdr:sp>
    </xdr:grpSp>
    <xdr:clientData/>
  </xdr:twoCellAnchor>
  <xdr:twoCellAnchor>
    <xdr:from>
      <xdr:col>2</xdr:col>
      <xdr:colOff>453460</xdr:colOff>
      <xdr:row>27</xdr:row>
      <xdr:rowOff>6491</xdr:rowOff>
    </xdr:from>
    <xdr:to>
      <xdr:col>11</xdr:col>
      <xdr:colOff>385211</xdr:colOff>
      <xdr:row>31</xdr:row>
      <xdr:rowOff>70063</xdr:rowOff>
    </xdr:to>
    <xdr:grpSp>
      <xdr:nvGrpSpPr>
        <xdr:cNvPr id="38" name="Groupe 37">
          <a:extLst>
            <a:ext uri="{FF2B5EF4-FFF2-40B4-BE49-F238E27FC236}">
              <a16:creationId xmlns:a16="http://schemas.microsoft.com/office/drawing/2014/main" id="{CF5ACE89-5E5A-4EE0-BA98-FC2E44082D5C}"/>
            </a:ext>
          </a:extLst>
        </xdr:cNvPr>
        <xdr:cNvGrpSpPr/>
      </xdr:nvGrpSpPr>
      <xdr:grpSpPr>
        <a:xfrm>
          <a:off x="815410" y="5149991"/>
          <a:ext cx="8247076" cy="749372"/>
          <a:chOff x="1266999" y="2314363"/>
          <a:chExt cx="8552299" cy="1267037"/>
        </a:xfrm>
      </xdr:grpSpPr>
      <xdr:sp macro="" textlink="">
        <xdr:nvSpPr>
          <xdr:cNvPr id="39" name="Rectangle à coins arrondis 10">
            <a:extLst>
              <a:ext uri="{FF2B5EF4-FFF2-40B4-BE49-F238E27FC236}">
                <a16:creationId xmlns:a16="http://schemas.microsoft.com/office/drawing/2014/main" id="{3AD33A49-EAC5-3792-99D1-095435808AF5}"/>
              </a:ext>
            </a:extLst>
          </xdr:cNvPr>
          <xdr:cNvSpPr/>
        </xdr:nvSpPr>
        <xdr:spPr>
          <a:xfrm rot="10800000" flipV="1">
            <a:off x="1266999" y="2638018"/>
            <a:ext cx="2186117" cy="619725"/>
          </a:xfrm>
          <a:prstGeom prst="roundRect">
            <a:avLst/>
          </a:prstGeom>
          <a:solidFill>
            <a:srgbClr val="16A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Préciser </a:t>
            </a:r>
          </a:p>
          <a:p>
            <a:pPr algn="ctr"/>
            <a:r>
              <a:rPr lang="fr-FR" sz="900">
                <a:solidFill>
                  <a:schemeClr val="bg1"/>
                </a:solidFill>
              </a:rPr>
              <a:t>les attendus</a:t>
            </a:r>
          </a:p>
        </xdr:txBody>
      </xdr:sp>
      <xdr:sp macro="" textlink="">
        <xdr:nvSpPr>
          <xdr:cNvPr id="40" name="Légende à une bordure 1 12">
            <a:extLst>
              <a:ext uri="{FF2B5EF4-FFF2-40B4-BE49-F238E27FC236}">
                <a16:creationId xmlns:a16="http://schemas.microsoft.com/office/drawing/2014/main" id="{88ED3617-1185-5097-0ABE-20558B37E5F1}"/>
              </a:ext>
            </a:extLst>
          </xdr:cNvPr>
          <xdr:cNvSpPr/>
        </xdr:nvSpPr>
        <xdr:spPr>
          <a:xfrm>
            <a:off x="4603083" y="2314363"/>
            <a:ext cx="5216215" cy="1267037"/>
          </a:xfrm>
          <a:prstGeom prst="accentCallout1">
            <a:avLst>
              <a:gd name="adj1" fmla="val 49829"/>
              <a:gd name="adj2" fmla="val -6771"/>
              <a:gd name="adj3" fmla="val 50027"/>
              <a:gd name="adj4" fmla="val -18419"/>
            </a:avLst>
          </a:prstGeom>
          <a:solidFill>
            <a:srgbClr val="A0F2E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Attention à ne pas avoir des attendus peu clairs ou erronés.</a:t>
            </a:r>
          </a:p>
          <a:p>
            <a:pPr marL="180000" indent="-180000">
              <a:buFont typeface="Arial" panose="020B0604020202020204" pitchFamily="34" charset="0"/>
              <a:buChar char="•"/>
            </a:pPr>
            <a:r>
              <a:rPr lang="fr-FR" sz="900">
                <a:solidFill>
                  <a:srgbClr val="000000"/>
                </a:solidFill>
              </a:rPr>
              <a:t>Avoir des objectifs irréalistes dès le début n’est pas un risque, c’est une erreur fatale. </a:t>
            </a:r>
          </a:p>
          <a:p>
            <a:pPr marL="180000" indent="-180000">
              <a:buFont typeface="Arial" panose="020B0604020202020204" pitchFamily="34" charset="0"/>
              <a:buChar char="•"/>
            </a:pPr>
            <a:r>
              <a:rPr lang="fr-FR" sz="900">
                <a:solidFill>
                  <a:srgbClr val="000000"/>
                </a:solidFill>
              </a:rPr>
              <a:t>Sans objectifs clairs, impossible de commencer une démarche de maîtrise des risques</a:t>
            </a:r>
          </a:p>
        </xdr:txBody>
      </xdr:sp>
    </xdr:grpSp>
    <xdr:clientData/>
  </xdr:twoCellAnchor>
  <xdr:twoCellAnchor>
    <xdr:from>
      <xdr:col>2</xdr:col>
      <xdr:colOff>458610</xdr:colOff>
      <xdr:row>31</xdr:row>
      <xdr:rowOff>156374</xdr:rowOff>
    </xdr:from>
    <xdr:to>
      <xdr:col>11</xdr:col>
      <xdr:colOff>409411</xdr:colOff>
      <xdr:row>36</xdr:row>
      <xdr:rowOff>32690</xdr:rowOff>
    </xdr:to>
    <xdr:grpSp>
      <xdr:nvGrpSpPr>
        <xdr:cNvPr id="41" name="Groupe 40">
          <a:extLst>
            <a:ext uri="{FF2B5EF4-FFF2-40B4-BE49-F238E27FC236}">
              <a16:creationId xmlns:a16="http://schemas.microsoft.com/office/drawing/2014/main" id="{A4B1354F-C68F-4B8B-B9AA-12867C2D1D7C}"/>
            </a:ext>
          </a:extLst>
        </xdr:cNvPr>
        <xdr:cNvGrpSpPr/>
      </xdr:nvGrpSpPr>
      <xdr:grpSpPr>
        <a:xfrm>
          <a:off x="820560" y="5985674"/>
          <a:ext cx="8266126" cy="733566"/>
          <a:chOff x="1266999" y="4240341"/>
          <a:chExt cx="8552299" cy="1267037"/>
        </a:xfrm>
      </xdr:grpSpPr>
      <xdr:sp macro="" textlink="">
        <xdr:nvSpPr>
          <xdr:cNvPr id="42" name="Rectangle à coins arrondis 13">
            <a:extLst>
              <a:ext uri="{FF2B5EF4-FFF2-40B4-BE49-F238E27FC236}">
                <a16:creationId xmlns:a16="http://schemas.microsoft.com/office/drawing/2014/main" id="{F5605B09-7295-49B2-2440-1C177CA5193F}"/>
              </a:ext>
            </a:extLst>
          </xdr:cNvPr>
          <xdr:cNvSpPr/>
        </xdr:nvSpPr>
        <xdr:spPr>
          <a:xfrm rot="10800000" flipV="1">
            <a:off x="1266999" y="4563996"/>
            <a:ext cx="2186117" cy="619725"/>
          </a:xfrm>
          <a:prstGeom prst="roundRect">
            <a:avLst/>
          </a:prstGeom>
          <a:solidFill>
            <a:srgbClr val="16A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Identifier </a:t>
            </a:r>
          </a:p>
          <a:p>
            <a:pPr algn="ctr"/>
            <a:r>
              <a:rPr lang="fr-FR" sz="900">
                <a:solidFill>
                  <a:schemeClr val="bg1"/>
                </a:solidFill>
              </a:rPr>
              <a:t>les ressources</a:t>
            </a:r>
          </a:p>
        </xdr:txBody>
      </xdr:sp>
      <xdr:sp macro="" textlink="">
        <xdr:nvSpPr>
          <xdr:cNvPr id="43" name="Légende à une bordure 1 14">
            <a:extLst>
              <a:ext uri="{FF2B5EF4-FFF2-40B4-BE49-F238E27FC236}">
                <a16:creationId xmlns:a16="http://schemas.microsoft.com/office/drawing/2014/main" id="{14FEDE97-F2B4-0EBC-EB8C-EF5249F4EAE3}"/>
              </a:ext>
            </a:extLst>
          </xdr:cNvPr>
          <xdr:cNvSpPr/>
        </xdr:nvSpPr>
        <xdr:spPr>
          <a:xfrm>
            <a:off x="4603083" y="4240341"/>
            <a:ext cx="5216215" cy="1267037"/>
          </a:xfrm>
          <a:prstGeom prst="accentCallout1">
            <a:avLst>
              <a:gd name="adj1" fmla="val 49829"/>
              <a:gd name="adj2" fmla="val -6771"/>
              <a:gd name="adj3" fmla="val 50027"/>
              <a:gd name="adj4" fmla="val -18419"/>
            </a:avLst>
          </a:prstGeom>
          <a:solidFill>
            <a:srgbClr val="A0F2E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Faire de la gestion des risques, c’est avant tout s’allouer des Hommes, des compétences, des moyens informatiques, de l’argent et du temps, dans un but de gagner à moyen et long terme du temps, de l’argent et la satisfaction client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702732</xdr:colOff>
      <xdr:row>4</xdr:row>
      <xdr:rowOff>269623</xdr:rowOff>
    </xdr:from>
    <xdr:to>
      <xdr:col>3</xdr:col>
      <xdr:colOff>2191769</xdr:colOff>
      <xdr:row>10</xdr:row>
      <xdr:rowOff>182670</xdr:rowOff>
    </xdr:to>
    <xdr:pic>
      <xdr:nvPicPr>
        <xdr:cNvPr id="2" name="Image 1">
          <a:extLst>
            <a:ext uri="{FF2B5EF4-FFF2-40B4-BE49-F238E27FC236}">
              <a16:creationId xmlns:a16="http://schemas.microsoft.com/office/drawing/2014/main" id="{0CD0EF9F-316C-4D3B-B34C-6B5E6EE211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0482" y="1336423"/>
          <a:ext cx="4889462" cy="1627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126681</xdr:colOff>
      <xdr:row>2</xdr:row>
      <xdr:rowOff>480417</xdr:rowOff>
    </xdr:from>
    <xdr:to>
      <xdr:col>7</xdr:col>
      <xdr:colOff>449576</xdr:colOff>
      <xdr:row>6</xdr:row>
      <xdr:rowOff>152235</xdr:rowOff>
    </xdr:to>
    <xdr:sp macro="" textlink="">
      <xdr:nvSpPr>
        <xdr:cNvPr id="2" name="Pentagone 1">
          <a:extLst>
            <a:ext uri="{FF2B5EF4-FFF2-40B4-BE49-F238E27FC236}">
              <a16:creationId xmlns:a16="http://schemas.microsoft.com/office/drawing/2014/main" id="{C7CB20A5-B007-4E2D-87BD-DDEA7BF6DF32}"/>
            </a:ext>
          </a:extLst>
        </xdr:cNvPr>
        <xdr:cNvSpPr/>
      </xdr:nvSpPr>
      <xdr:spPr>
        <a:xfrm rot="5400000">
          <a:off x="7845525" y="1457898"/>
          <a:ext cx="871968" cy="32670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700" b="1" i="0"/>
            <a:t>EVALUATION</a:t>
          </a:r>
          <a:endParaRPr lang="fr-FR" sz="800" b="1" i="0"/>
        </a:p>
      </xdr:txBody>
    </xdr:sp>
    <xdr:clientData/>
  </xdr:twoCellAnchor>
  <xdr:twoCellAnchor>
    <xdr:from>
      <xdr:col>9</xdr:col>
      <xdr:colOff>149542</xdr:colOff>
      <xdr:row>2</xdr:row>
      <xdr:rowOff>483099</xdr:rowOff>
    </xdr:from>
    <xdr:to>
      <xdr:col>9</xdr:col>
      <xdr:colOff>464817</xdr:colOff>
      <xdr:row>6</xdr:row>
      <xdr:rowOff>152235</xdr:rowOff>
    </xdr:to>
    <xdr:sp macro="" textlink="">
      <xdr:nvSpPr>
        <xdr:cNvPr id="3" name="Pentagone 2">
          <a:extLst>
            <a:ext uri="{FF2B5EF4-FFF2-40B4-BE49-F238E27FC236}">
              <a16:creationId xmlns:a16="http://schemas.microsoft.com/office/drawing/2014/main" id="{757080A3-5F68-4350-B620-D89F248749A0}"/>
            </a:ext>
          </a:extLst>
        </xdr:cNvPr>
        <xdr:cNvSpPr/>
      </xdr:nvSpPr>
      <xdr:spPr>
        <a:xfrm rot="5400000">
          <a:off x="10290981" y="1461145"/>
          <a:ext cx="878811" cy="31337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700" b="1" i="0"/>
            <a:t>EVALUATION</a:t>
          </a:r>
        </a:p>
      </xdr:txBody>
    </xdr:sp>
    <xdr:clientData/>
  </xdr:twoCellAnchor>
  <xdr:twoCellAnchor>
    <xdr:from>
      <xdr:col>11</xdr:col>
      <xdr:colOff>50482</xdr:colOff>
      <xdr:row>2</xdr:row>
      <xdr:rowOff>485778</xdr:rowOff>
    </xdr:from>
    <xdr:to>
      <xdr:col>11</xdr:col>
      <xdr:colOff>373377</xdr:colOff>
      <xdr:row>6</xdr:row>
      <xdr:rowOff>152236</xdr:rowOff>
    </xdr:to>
    <xdr:sp macro="" textlink="">
      <xdr:nvSpPr>
        <xdr:cNvPr id="4" name="Pentagone 3">
          <a:extLst>
            <a:ext uri="{FF2B5EF4-FFF2-40B4-BE49-F238E27FC236}">
              <a16:creationId xmlns:a16="http://schemas.microsoft.com/office/drawing/2014/main" id="{468435AF-4BBE-4970-81FA-DD2563DE787B}"/>
            </a:ext>
          </a:extLst>
        </xdr:cNvPr>
        <xdr:cNvSpPr/>
      </xdr:nvSpPr>
      <xdr:spPr>
        <a:xfrm rot="5400000">
          <a:off x="13070763" y="1455817"/>
          <a:ext cx="876133" cy="32670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700" b="1" i="0"/>
            <a:t>EVALUATION</a:t>
          </a:r>
          <a:endParaRPr lang="fr-FR" sz="800" b="1" i="0"/>
        </a:p>
      </xdr:txBody>
    </xdr:sp>
    <xdr:clientData/>
  </xdr:twoCellAnchor>
  <xdr:twoCellAnchor>
    <xdr:from>
      <xdr:col>23</xdr:col>
      <xdr:colOff>76200</xdr:colOff>
      <xdr:row>5</xdr:row>
      <xdr:rowOff>19050</xdr:rowOff>
    </xdr:from>
    <xdr:to>
      <xdr:col>23</xdr:col>
      <xdr:colOff>395285</xdr:colOff>
      <xdr:row>6</xdr:row>
      <xdr:rowOff>28578</xdr:rowOff>
    </xdr:to>
    <xdr:sp macro="" textlink="">
      <xdr:nvSpPr>
        <xdr:cNvPr id="5" name="Pentagone 4">
          <a:extLst>
            <a:ext uri="{FF2B5EF4-FFF2-40B4-BE49-F238E27FC236}">
              <a16:creationId xmlns:a16="http://schemas.microsoft.com/office/drawing/2014/main" id="{EBA686B6-92E7-4A65-B63E-CC99228F153B}"/>
            </a:ext>
          </a:extLst>
        </xdr:cNvPr>
        <xdr:cNvSpPr/>
      </xdr:nvSpPr>
      <xdr:spPr>
        <a:xfrm rot="5400000">
          <a:off x="24614978" y="1674022"/>
          <a:ext cx="20574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24</xdr:col>
      <xdr:colOff>52387</xdr:colOff>
      <xdr:row>5</xdr:row>
      <xdr:rowOff>19050</xdr:rowOff>
    </xdr:from>
    <xdr:to>
      <xdr:col>24</xdr:col>
      <xdr:colOff>371472</xdr:colOff>
      <xdr:row>6</xdr:row>
      <xdr:rowOff>28578</xdr:rowOff>
    </xdr:to>
    <xdr:sp macro="" textlink="">
      <xdr:nvSpPr>
        <xdr:cNvPr id="6" name="Pentagone 5">
          <a:extLst>
            <a:ext uri="{FF2B5EF4-FFF2-40B4-BE49-F238E27FC236}">
              <a16:creationId xmlns:a16="http://schemas.microsoft.com/office/drawing/2014/main" id="{28EFB438-F864-4FD5-A7A5-89F0DDA6E579}"/>
            </a:ext>
          </a:extLst>
        </xdr:cNvPr>
        <xdr:cNvSpPr/>
      </xdr:nvSpPr>
      <xdr:spPr>
        <a:xfrm rot="5400000">
          <a:off x="24980738" y="1671164"/>
          <a:ext cx="205743" cy="32289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25</xdr:col>
      <xdr:colOff>35719</xdr:colOff>
      <xdr:row>5</xdr:row>
      <xdr:rowOff>12699</xdr:rowOff>
    </xdr:from>
    <xdr:to>
      <xdr:col>25</xdr:col>
      <xdr:colOff>354804</xdr:colOff>
      <xdr:row>6</xdr:row>
      <xdr:rowOff>22227</xdr:rowOff>
    </xdr:to>
    <xdr:sp macro="" textlink="">
      <xdr:nvSpPr>
        <xdr:cNvPr id="7" name="Pentagone 6">
          <a:extLst>
            <a:ext uri="{FF2B5EF4-FFF2-40B4-BE49-F238E27FC236}">
              <a16:creationId xmlns:a16="http://schemas.microsoft.com/office/drawing/2014/main" id="{8E3AF768-AE5F-4346-AF34-E047F0E9486D}"/>
            </a:ext>
          </a:extLst>
        </xdr:cNvPr>
        <xdr:cNvSpPr/>
      </xdr:nvSpPr>
      <xdr:spPr>
        <a:xfrm rot="5400000">
          <a:off x="25347927" y="1665766"/>
          <a:ext cx="21336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17</xdr:col>
      <xdr:colOff>76200</xdr:colOff>
      <xdr:row>5</xdr:row>
      <xdr:rowOff>19050</xdr:rowOff>
    </xdr:from>
    <xdr:to>
      <xdr:col>17</xdr:col>
      <xdr:colOff>395285</xdr:colOff>
      <xdr:row>6</xdr:row>
      <xdr:rowOff>28578</xdr:rowOff>
    </xdr:to>
    <xdr:sp macro="" textlink="">
      <xdr:nvSpPr>
        <xdr:cNvPr id="8" name="Pentagone 8">
          <a:extLst>
            <a:ext uri="{FF2B5EF4-FFF2-40B4-BE49-F238E27FC236}">
              <a16:creationId xmlns:a16="http://schemas.microsoft.com/office/drawing/2014/main" id="{9C9ED309-40A8-4ECD-BCD7-FF4602425B78}"/>
            </a:ext>
          </a:extLst>
        </xdr:cNvPr>
        <xdr:cNvSpPr/>
      </xdr:nvSpPr>
      <xdr:spPr>
        <a:xfrm rot="5400000">
          <a:off x="19631498" y="1674022"/>
          <a:ext cx="20574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18</xdr:col>
      <xdr:colOff>52387</xdr:colOff>
      <xdr:row>5</xdr:row>
      <xdr:rowOff>19050</xdr:rowOff>
    </xdr:from>
    <xdr:to>
      <xdr:col>18</xdr:col>
      <xdr:colOff>371472</xdr:colOff>
      <xdr:row>6</xdr:row>
      <xdr:rowOff>28578</xdr:rowOff>
    </xdr:to>
    <xdr:sp macro="" textlink="">
      <xdr:nvSpPr>
        <xdr:cNvPr id="9" name="Pentagone 9">
          <a:extLst>
            <a:ext uri="{FF2B5EF4-FFF2-40B4-BE49-F238E27FC236}">
              <a16:creationId xmlns:a16="http://schemas.microsoft.com/office/drawing/2014/main" id="{AE405301-C049-4990-9141-15A32CF6CD7E}"/>
            </a:ext>
          </a:extLst>
        </xdr:cNvPr>
        <xdr:cNvSpPr/>
      </xdr:nvSpPr>
      <xdr:spPr>
        <a:xfrm rot="5400000">
          <a:off x="19997258" y="1671164"/>
          <a:ext cx="205743" cy="32289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19</xdr:col>
      <xdr:colOff>35719</xdr:colOff>
      <xdr:row>5</xdr:row>
      <xdr:rowOff>12699</xdr:rowOff>
    </xdr:from>
    <xdr:to>
      <xdr:col>19</xdr:col>
      <xdr:colOff>354804</xdr:colOff>
      <xdr:row>6</xdr:row>
      <xdr:rowOff>22227</xdr:rowOff>
    </xdr:to>
    <xdr:sp macro="" textlink="">
      <xdr:nvSpPr>
        <xdr:cNvPr id="10" name="Pentagone 10">
          <a:extLst>
            <a:ext uri="{FF2B5EF4-FFF2-40B4-BE49-F238E27FC236}">
              <a16:creationId xmlns:a16="http://schemas.microsoft.com/office/drawing/2014/main" id="{6102C25B-8BCB-4F57-A96D-398AB293D71D}"/>
            </a:ext>
          </a:extLst>
        </xdr:cNvPr>
        <xdr:cNvSpPr/>
      </xdr:nvSpPr>
      <xdr:spPr>
        <a:xfrm rot="5400000">
          <a:off x="20364447" y="1665766"/>
          <a:ext cx="21336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128589</xdr:colOff>
      <xdr:row>5</xdr:row>
      <xdr:rowOff>19051</xdr:rowOff>
    </xdr:from>
    <xdr:to>
      <xdr:col>7</xdr:col>
      <xdr:colOff>447674</xdr:colOff>
      <xdr:row>12</xdr:row>
      <xdr:rowOff>176216</xdr:rowOff>
    </xdr:to>
    <xdr:sp macro="" textlink="">
      <xdr:nvSpPr>
        <xdr:cNvPr id="2" name="Pentagone 1">
          <a:extLst>
            <a:ext uri="{FF2B5EF4-FFF2-40B4-BE49-F238E27FC236}">
              <a16:creationId xmlns:a16="http://schemas.microsoft.com/office/drawing/2014/main" id="{00000000-0008-0000-0900-000002000000}"/>
            </a:ext>
          </a:extLst>
        </xdr:cNvPr>
        <xdr:cNvSpPr/>
      </xdr:nvSpPr>
      <xdr:spPr>
        <a:xfrm rot="5400000">
          <a:off x="9353549" y="1512891"/>
          <a:ext cx="830265"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800" b="1" i="0"/>
            <a:t>EVALUATION</a:t>
          </a:r>
        </a:p>
      </xdr:txBody>
    </xdr:sp>
    <xdr:clientData/>
  </xdr:twoCellAnchor>
  <xdr:twoCellAnchor>
    <xdr:from>
      <xdr:col>9</xdr:col>
      <xdr:colOff>147639</xdr:colOff>
      <xdr:row>5</xdr:row>
      <xdr:rowOff>19051</xdr:rowOff>
    </xdr:from>
    <xdr:to>
      <xdr:col>9</xdr:col>
      <xdr:colOff>466724</xdr:colOff>
      <xdr:row>12</xdr:row>
      <xdr:rowOff>176216</xdr:rowOff>
    </xdr:to>
    <xdr:sp macro="" textlink="">
      <xdr:nvSpPr>
        <xdr:cNvPr id="3" name="Pentagone 2">
          <a:extLst>
            <a:ext uri="{FF2B5EF4-FFF2-40B4-BE49-F238E27FC236}">
              <a16:creationId xmlns:a16="http://schemas.microsoft.com/office/drawing/2014/main" id="{00000000-0008-0000-0900-000003000000}"/>
            </a:ext>
          </a:extLst>
        </xdr:cNvPr>
        <xdr:cNvSpPr/>
      </xdr:nvSpPr>
      <xdr:spPr>
        <a:xfrm rot="5400000">
          <a:off x="11918949" y="1512891"/>
          <a:ext cx="830265"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800" b="1" i="0"/>
            <a:t>EVALUATION</a:t>
          </a:r>
        </a:p>
      </xdr:txBody>
    </xdr:sp>
    <xdr:clientData/>
  </xdr:twoCellAnchor>
  <xdr:twoCellAnchor>
    <xdr:from>
      <xdr:col>11</xdr:col>
      <xdr:colOff>52389</xdr:colOff>
      <xdr:row>5</xdr:row>
      <xdr:rowOff>19051</xdr:rowOff>
    </xdr:from>
    <xdr:to>
      <xdr:col>11</xdr:col>
      <xdr:colOff>371474</xdr:colOff>
      <xdr:row>12</xdr:row>
      <xdr:rowOff>176216</xdr:rowOff>
    </xdr:to>
    <xdr:sp macro="" textlink="">
      <xdr:nvSpPr>
        <xdr:cNvPr id="4" name="Pentagone 3">
          <a:extLst>
            <a:ext uri="{FF2B5EF4-FFF2-40B4-BE49-F238E27FC236}">
              <a16:creationId xmlns:a16="http://schemas.microsoft.com/office/drawing/2014/main" id="{00000000-0008-0000-0900-000004000000}"/>
            </a:ext>
          </a:extLst>
        </xdr:cNvPr>
        <xdr:cNvSpPr/>
      </xdr:nvSpPr>
      <xdr:spPr>
        <a:xfrm rot="5400000">
          <a:off x="14827249" y="1512891"/>
          <a:ext cx="830265"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800" b="1" i="0"/>
            <a:t>EVALUATION</a:t>
          </a:r>
        </a:p>
      </xdr:txBody>
    </xdr:sp>
    <xdr:clientData/>
  </xdr:twoCellAnchor>
  <xdr:twoCellAnchor>
    <xdr:from>
      <xdr:col>23</xdr:col>
      <xdr:colOff>76200</xdr:colOff>
      <xdr:row>5</xdr:row>
      <xdr:rowOff>19050</xdr:rowOff>
    </xdr:from>
    <xdr:to>
      <xdr:col>23</xdr:col>
      <xdr:colOff>395285</xdr:colOff>
      <xdr:row>11</xdr:row>
      <xdr:rowOff>28578</xdr:rowOff>
    </xdr:to>
    <xdr:sp macro="" textlink="">
      <xdr:nvSpPr>
        <xdr:cNvPr id="5" name="Pentagone 4">
          <a:extLst>
            <a:ext uri="{FF2B5EF4-FFF2-40B4-BE49-F238E27FC236}">
              <a16:creationId xmlns:a16="http://schemas.microsoft.com/office/drawing/2014/main" id="{00000000-0008-0000-0900-000005000000}"/>
            </a:ext>
          </a:extLst>
        </xdr:cNvPr>
        <xdr:cNvSpPr/>
      </xdr:nvSpPr>
      <xdr:spPr>
        <a:xfrm rot="5400000">
          <a:off x="24253029"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24</xdr:col>
      <xdr:colOff>28575</xdr:colOff>
      <xdr:row>5</xdr:row>
      <xdr:rowOff>19050</xdr:rowOff>
    </xdr:from>
    <xdr:to>
      <xdr:col>24</xdr:col>
      <xdr:colOff>347660</xdr:colOff>
      <xdr:row>11</xdr:row>
      <xdr:rowOff>28578</xdr:rowOff>
    </xdr:to>
    <xdr:sp macro="" textlink="">
      <xdr:nvSpPr>
        <xdr:cNvPr id="6" name="Pentagone 5">
          <a:extLst>
            <a:ext uri="{FF2B5EF4-FFF2-40B4-BE49-F238E27FC236}">
              <a16:creationId xmlns:a16="http://schemas.microsoft.com/office/drawing/2014/main" id="{00000000-0008-0000-0900-000006000000}"/>
            </a:ext>
          </a:extLst>
        </xdr:cNvPr>
        <xdr:cNvSpPr/>
      </xdr:nvSpPr>
      <xdr:spPr>
        <a:xfrm rot="5400000">
          <a:off x="24694354"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25</xdr:col>
      <xdr:colOff>47625</xdr:colOff>
      <xdr:row>5</xdr:row>
      <xdr:rowOff>28575</xdr:rowOff>
    </xdr:from>
    <xdr:to>
      <xdr:col>25</xdr:col>
      <xdr:colOff>366710</xdr:colOff>
      <xdr:row>11</xdr:row>
      <xdr:rowOff>38103</xdr:rowOff>
    </xdr:to>
    <xdr:sp macro="" textlink="">
      <xdr:nvSpPr>
        <xdr:cNvPr id="7" name="Pentagone 6">
          <a:extLst>
            <a:ext uri="{FF2B5EF4-FFF2-40B4-BE49-F238E27FC236}">
              <a16:creationId xmlns:a16="http://schemas.microsoft.com/office/drawing/2014/main" id="{00000000-0008-0000-0900-000007000000}"/>
            </a:ext>
          </a:extLst>
        </xdr:cNvPr>
        <xdr:cNvSpPr/>
      </xdr:nvSpPr>
      <xdr:spPr>
        <a:xfrm rot="5400000">
          <a:off x="25113454" y="1359696"/>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17</xdr:col>
      <xdr:colOff>76200</xdr:colOff>
      <xdr:row>5</xdr:row>
      <xdr:rowOff>19050</xdr:rowOff>
    </xdr:from>
    <xdr:to>
      <xdr:col>17</xdr:col>
      <xdr:colOff>395285</xdr:colOff>
      <xdr:row>11</xdr:row>
      <xdr:rowOff>28578</xdr:rowOff>
    </xdr:to>
    <xdr:sp macro="" textlink="">
      <xdr:nvSpPr>
        <xdr:cNvPr id="8" name="Pentagone 7">
          <a:extLst>
            <a:ext uri="{FF2B5EF4-FFF2-40B4-BE49-F238E27FC236}">
              <a16:creationId xmlns:a16="http://schemas.microsoft.com/office/drawing/2014/main" id="{00000000-0008-0000-0900-000008000000}"/>
            </a:ext>
          </a:extLst>
        </xdr:cNvPr>
        <xdr:cNvSpPr/>
      </xdr:nvSpPr>
      <xdr:spPr>
        <a:xfrm rot="5400000">
          <a:off x="20157279"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18</xdr:col>
      <xdr:colOff>28575</xdr:colOff>
      <xdr:row>5</xdr:row>
      <xdr:rowOff>19050</xdr:rowOff>
    </xdr:from>
    <xdr:to>
      <xdr:col>18</xdr:col>
      <xdr:colOff>347660</xdr:colOff>
      <xdr:row>11</xdr:row>
      <xdr:rowOff>28578</xdr:rowOff>
    </xdr:to>
    <xdr:sp macro="" textlink="">
      <xdr:nvSpPr>
        <xdr:cNvPr id="9" name="Pentagone 8">
          <a:extLst>
            <a:ext uri="{FF2B5EF4-FFF2-40B4-BE49-F238E27FC236}">
              <a16:creationId xmlns:a16="http://schemas.microsoft.com/office/drawing/2014/main" id="{00000000-0008-0000-0900-000009000000}"/>
            </a:ext>
          </a:extLst>
        </xdr:cNvPr>
        <xdr:cNvSpPr/>
      </xdr:nvSpPr>
      <xdr:spPr>
        <a:xfrm rot="5400000">
          <a:off x="20598604"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19</xdr:col>
      <xdr:colOff>47625</xdr:colOff>
      <xdr:row>5</xdr:row>
      <xdr:rowOff>28575</xdr:rowOff>
    </xdr:from>
    <xdr:to>
      <xdr:col>19</xdr:col>
      <xdr:colOff>366710</xdr:colOff>
      <xdr:row>11</xdr:row>
      <xdr:rowOff>38103</xdr:rowOff>
    </xdr:to>
    <xdr:sp macro="" textlink="">
      <xdr:nvSpPr>
        <xdr:cNvPr id="10" name="Pentagone 9">
          <a:extLst>
            <a:ext uri="{FF2B5EF4-FFF2-40B4-BE49-F238E27FC236}">
              <a16:creationId xmlns:a16="http://schemas.microsoft.com/office/drawing/2014/main" id="{00000000-0008-0000-0900-00000A000000}"/>
            </a:ext>
          </a:extLst>
        </xdr:cNvPr>
        <xdr:cNvSpPr/>
      </xdr:nvSpPr>
      <xdr:spPr>
        <a:xfrm rot="5400000">
          <a:off x="21017704" y="1359696"/>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209551</xdr:colOff>
      <xdr:row>7</xdr:row>
      <xdr:rowOff>152400</xdr:rowOff>
    </xdr:from>
    <xdr:to>
      <xdr:col>13</xdr:col>
      <xdr:colOff>857250</xdr:colOff>
      <xdr:row>31</xdr:row>
      <xdr:rowOff>142875</xdr:rowOff>
    </xdr:to>
    <xdr:graphicFrame macro="">
      <xdr:nvGraphicFramePr>
        <xdr:cNvPr id="2" name="Chart 3">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nas1\METRA\RENE\METRA\LA_SIDEL.EXP\TE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acylitiesmultiservices.sharepoint.com/personal/fatima_darazirar_fms-ea_com/Documents/Documents/Missions/Pilotage%20transverse/2019_Project%20follow%20up_POD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sheetNames>
    <definedNames>
      <definedName name="ok"/>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ckpit"/>
      <sheetName val="RM"/>
      <sheetName val="Amelio"/>
      <sheetName val="FESCOL"/>
      <sheetName val="FESCEL"/>
      <sheetName val="Kpi_roadmap"/>
      <sheetName val="Risk_Project"/>
      <sheetName val="RFP"/>
      <sheetName val="OTD"/>
      <sheetName val="OQD"/>
      <sheetName val="OBSclient"/>
      <sheetName val="OBSvsWBS"/>
      <sheetName val="Planning"/>
      <sheetName val="focus congés W18"/>
      <sheetName val="OBS"/>
      <sheetName val="OBS Graph"/>
      <sheetName val="DED"/>
      <sheetName val="MGT-Act"/>
      <sheetName val="Skills"/>
      <sheetName val="Trainings"/>
      <sheetName val="Logistic"/>
      <sheetName val="IT &amp; T"/>
      <sheetName val="Liste des risques pris en compt"/>
      <sheetName val="temp"/>
      <sheetName val="Suivi Travel"/>
      <sheetName val="suivi BL"/>
      <sheetName val="BL ALL WP"/>
      <sheetName val="suivi general"/>
      <sheetName val="ALL WP"/>
      <sheetName val="Pré-série"/>
      <sheetName val="Casting Forging"/>
      <sheetName val="WPToW"/>
      <sheetName val="WP350"/>
      <sheetName val="Feuil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726336-8AEA-4B4C-B43D-69D93FF41FE0}" name="Tableau3" displayName="Tableau3" ref="A9:R38" totalsRowShown="0" headerRowDxfId="67" dataDxfId="65" headerRowBorderDxfId="66" tableBorderDxfId="64">
  <autoFilter ref="A9:R38" xr:uid="{FC726336-8AEA-4B4C-B43D-69D93FF41FE0}"/>
  <tableColumns count="18">
    <tableColumn id="10" xr3:uid="{165DB7FE-9C94-4FA7-81DF-EBCF337CEA1E}" name="ID_Risque (R+Chrono)" dataDxfId="63"/>
    <tableColumn id="1" xr3:uid="{4FE2DDEF-5084-48BC-B02C-D0177994BA72}" name="Périmètre" dataDxfId="62"/>
    <tableColumn id="11" xr3:uid="{8C3124A0-3CA6-4BC4-880C-DCD7ADF1EEA4}" name="Date de création _x000a_du risque" dataDxfId="61"/>
    <tableColumn id="15" xr3:uid="{71907B86-6931-4998-8A83-E37CBC60464A}" name="Visibilité _x000a_ROP" dataDxfId="60"/>
    <tableColumn id="12" xr3:uid="{4CC72B42-0AFC-4476-AD37-B03038B9C28D}" name="Nbre de salariés impactés" dataDxfId="59"/>
    <tableColumn id="2" xr3:uid="{2D56747A-9D1B-462C-A2EE-279BC6864A89}" name="Catégorie" dataDxfId="58"/>
    <tableColumn id="3" xr3:uid="{803011FA-5619-4829-9E05-EF9FC7920E63}" name="Description" dataDxfId="57"/>
    <tableColumn id="14" xr3:uid="{3BB5FDF8-B521-4425-8CF9-650C3030D69F}" name="Impact potentiel sur le service" dataDxfId="56"/>
    <tableColumn id="16" xr3:uid="{346AE0EE-3C21-4C3B-B234-AD2E98BBE74C}" name="Probabilité / Occurrence" dataDxfId="55"/>
    <tableColumn id="17" xr3:uid="{96B33C9D-7A74-4D61-8ED7-DFFE04CB7F36}" name="Gravité" dataDxfId="54"/>
    <tableColumn id="4" xr3:uid="{F6D3AC3E-BB42-4B88-98A9-B1E238EFE2B1}" name="Criticité" dataDxfId="53">
      <calculatedColumnFormula>(IF(Tableau3[[#This Row],[Probabilité / Occurrence]]="","",VLOOKUP((VLOOKUP(Tableau3[[#This Row],[Probabilité / Occurrence]],$T$10:$U$13,2,FALSE)*(VLOOKUP(Tableau3[[#This Row],[Gravité]],$V$10:$W$13,2,FALSE))),$X$9:$Y$23,2,FALSE)))</calculatedColumnFormula>
    </tableColumn>
    <tableColumn id="5" xr3:uid="{9380EEE2-0F3E-4269-B675-721EA97EECAF}" name="Actions" dataDxfId="52"/>
    <tableColumn id="6" xr3:uid="{16C1012E-8025-4C5E-AB69-32D6965BE1FD}" name="Responsable _x000a_de l'action" dataDxfId="51"/>
    <tableColumn id="7" xr3:uid="{8485DD17-D3A5-4E6E-9AC4-89B69E519BB0}" name="Date cible" dataDxfId="50"/>
    <tableColumn id="18" xr3:uid="{9A37FACA-DEDA-4085-B030-5EBB728E975F}" name="Statut des actions liées au risque" dataDxfId="49"/>
    <tableColumn id="8" xr3:uid="{192DD6D9-AA74-4078-9065-AD510B106BFD}" name="Date de clôture" dataDxfId="48"/>
    <tableColumn id="13" xr3:uid="{01C3992B-5BEC-4C86-B1BE-1B202BA06821}" name="Efficacité action (en %)" dataDxfId="47"/>
    <tableColumn id="9" xr3:uid="{EE516A05-F8BF-4406-A34F-1F37A76D7494}" name="Commentaires" dataDxfId="46"/>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19A0-D131-4F30-9AC6-29A4F55BF3FE}">
  <sheetPr>
    <tabColor theme="7" tint="0.79998168889431442"/>
  </sheetPr>
  <dimension ref="A1:L122"/>
  <sheetViews>
    <sheetView showGridLines="0" view="pageLayout" topLeftCell="A13" zoomScaleNormal="90" zoomScaleSheetLayoutView="40" workbookViewId="0">
      <selection activeCell="C55" sqref="C55"/>
    </sheetView>
  </sheetViews>
  <sheetFormatPr defaultColWidth="15.85546875" defaultRowHeight="14.25" x14ac:dyDescent="0.3"/>
  <cols>
    <col min="1" max="1" width="2.7109375" style="210" customWidth="1"/>
    <col min="2" max="2" width="4.28515625" style="210" customWidth="1"/>
    <col min="3" max="3" width="18.28515625" style="210" customWidth="1"/>
    <col min="4" max="5" width="19.42578125" style="210" customWidth="1"/>
    <col min="6" max="10" width="20.7109375" style="210" customWidth="1"/>
    <col min="11" max="11" width="4.28515625" style="210" customWidth="1"/>
    <col min="12" max="12" width="2.85546875" style="210" customWidth="1"/>
    <col min="13" max="16384" width="15.85546875" style="210"/>
  </cols>
  <sheetData>
    <row r="1" spans="1:12" s="213" customFormat="1" ht="25.5" customHeight="1" x14ac:dyDescent="0.3">
      <c r="A1" s="393"/>
      <c r="B1" s="456" t="s">
        <v>0</v>
      </c>
      <c r="C1" s="456"/>
      <c r="D1" s="456"/>
      <c r="E1" s="456"/>
      <c r="F1" s="456"/>
      <c r="G1" s="456"/>
      <c r="H1" s="456"/>
      <c r="I1" s="456"/>
      <c r="J1" s="394"/>
      <c r="K1" s="395"/>
      <c r="L1" s="396"/>
    </row>
    <row r="2" spans="1:12" ht="15.75" x14ac:dyDescent="0.3">
      <c r="A2" s="208"/>
      <c r="B2" s="457"/>
      <c r="C2" s="457"/>
      <c r="D2" s="457"/>
      <c r="E2" s="457"/>
      <c r="F2" s="457"/>
      <c r="G2" s="457"/>
      <c r="H2" s="457"/>
      <c r="I2" s="457"/>
      <c r="J2" s="383"/>
      <c r="K2" s="383"/>
      <c r="L2" s="209"/>
    </row>
    <row r="3" spans="1:12" ht="18" customHeight="1" x14ac:dyDescent="0.3">
      <c r="A3" s="208"/>
      <c r="B3" s="455" t="s">
        <v>1</v>
      </c>
      <c r="C3" s="455"/>
      <c r="D3" s="435"/>
      <c r="E3" s="435"/>
      <c r="F3" s="435"/>
      <c r="G3" s="435"/>
      <c r="H3" s="435"/>
      <c r="I3" s="389"/>
      <c r="J3" s="389"/>
      <c r="K3" s="389"/>
      <c r="L3" s="209"/>
    </row>
    <row r="4" spans="1:12" ht="18" customHeight="1" x14ac:dyDescent="0.3">
      <c r="A4" s="208"/>
      <c r="B4" s="215"/>
      <c r="C4" s="400" t="s">
        <v>2</v>
      </c>
      <c r="D4" s="410"/>
      <c r="E4" s="410"/>
      <c r="F4" s="410"/>
      <c r="G4" s="410"/>
      <c r="H4" s="410"/>
      <c r="I4" s="389"/>
      <c r="J4" s="389"/>
      <c r="K4" s="389"/>
      <c r="L4" s="209"/>
    </row>
    <row r="5" spans="1:12" ht="18" customHeight="1" x14ac:dyDescent="0.3">
      <c r="A5" s="208"/>
      <c r="B5" s="215"/>
      <c r="C5" s="429" t="s">
        <v>3</v>
      </c>
      <c r="D5" s="427"/>
      <c r="E5" s="410"/>
      <c r="F5" s="410"/>
      <c r="G5" s="410"/>
      <c r="H5" s="410"/>
      <c r="I5" s="389"/>
      <c r="J5" s="389"/>
      <c r="K5" s="389"/>
      <c r="L5" s="209"/>
    </row>
    <row r="6" spans="1:12" ht="18" customHeight="1" x14ac:dyDescent="0.3">
      <c r="A6" s="208"/>
      <c r="B6" s="215"/>
      <c r="C6" s="430" t="s">
        <v>4</v>
      </c>
      <c r="D6" s="428"/>
      <c r="E6" s="410"/>
      <c r="F6" s="410"/>
      <c r="G6" s="410"/>
      <c r="H6" s="410"/>
      <c r="I6" s="389"/>
      <c r="J6" s="389"/>
      <c r="K6" s="389"/>
      <c r="L6" s="209"/>
    </row>
    <row r="7" spans="1:12" ht="18" customHeight="1" x14ac:dyDescent="0.3">
      <c r="A7" s="208"/>
      <c r="B7" s="215"/>
      <c r="C7" s="400"/>
      <c r="D7" s="410"/>
      <c r="E7" s="410"/>
      <c r="F7" s="410"/>
      <c r="G7" s="410"/>
      <c r="H7" s="410"/>
      <c r="I7" s="389"/>
      <c r="J7" s="389"/>
      <c r="K7" s="389"/>
      <c r="L7" s="209"/>
    </row>
    <row r="8" spans="1:12" ht="18" customHeight="1" x14ac:dyDescent="0.35">
      <c r="A8" s="208"/>
      <c r="B8" s="455" t="s">
        <v>5</v>
      </c>
      <c r="C8" s="455"/>
      <c r="D8" s="424"/>
      <c r="E8" s="424"/>
      <c r="F8" s="424"/>
      <c r="G8" s="424"/>
      <c r="H8" s="424"/>
      <c r="I8" s="389"/>
      <c r="J8" s="389"/>
      <c r="K8" s="389"/>
      <c r="L8" s="209"/>
    </row>
    <row r="9" spans="1:12" ht="18" customHeight="1" x14ac:dyDescent="0.3">
      <c r="A9" s="208"/>
      <c r="B9" s="215"/>
      <c r="C9" s="386" t="s">
        <v>6</v>
      </c>
      <c r="D9" s="410"/>
      <c r="E9" s="410"/>
      <c r="F9" s="410"/>
      <c r="G9" s="410"/>
      <c r="H9" s="410"/>
      <c r="I9" s="389"/>
      <c r="J9" s="389"/>
      <c r="K9" s="389"/>
      <c r="L9" s="209"/>
    </row>
    <row r="10" spans="1:12" ht="18" customHeight="1" x14ac:dyDescent="0.3">
      <c r="A10" s="208"/>
      <c r="B10" s="215"/>
      <c r="C10" s="400" t="s">
        <v>7</v>
      </c>
      <c r="D10" s="410"/>
      <c r="E10" s="410"/>
      <c r="F10" s="410"/>
      <c r="G10" s="410"/>
      <c r="H10" s="410"/>
      <c r="I10" s="389"/>
      <c r="J10" s="389"/>
      <c r="K10" s="389"/>
      <c r="L10" s="209"/>
    </row>
    <row r="11" spans="1:12" ht="18" customHeight="1" x14ac:dyDescent="0.3">
      <c r="A11" s="208"/>
      <c r="B11" s="438"/>
      <c r="C11" s="439"/>
      <c r="D11" s="410"/>
      <c r="E11" s="410"/>
      <c r="F11" s="410"/>
      <c r="G11" s="410"/>
      <c r="H11" s="410"/>
      <c r="I11" s="389"/>
      <c r="J11" s="389"/>
      <c r="K11" s="389"/>
      <c r="L11" s="209"/>
    </row>
    <row r="12" spans="1:12" ht="18" customHeight="1" x14ac:dyDescent="0.3">
      <c r="A12" s="208"/>
      <c r="B12" s="440">
        <v>1</v>
      </c>
      <c r="C12" s="441" t="s">
        <v>8</v>
      </c>
      <c r="D12" s="410"/>
      <c r="E12" s="410"/>
      <c r="F12" s="410"/>
      <c r="G12" s="410"/>
      <c r="H12" s="410"/>
      <c r="I12" s="389"/>
      <c r="J12" s="389"/>
      <c r="K12" s="389"/>
      <c r="L12" s="209"/>
    </row>
    <row r="13" spans="1:12" ht="18" customHeight="1" x14ac:dyDescent="0.35">
      <c r="A13" s="208"/>
      <c r="B13" s="425"/>
      <c r="C13" s="400" t="s">
        <v>9</v>
      </c>
      <c r="D13" s="410"/>
      <c r="E13" s="410"/>
      <c r="F13" s="410"/>
      <c r="G13" s="410"/>
      <c r="H13" s="410"/>
      <c r="I13" s="389"/>
      <c r="J13" s="389"/>
      <c r="K13" s="389"/>
      <c r="L13" s="209"/>
    </row>
    <row r="14" spans="1:12" ht="18" customHeight="1" x14ac:dyDescent="0.35">
      <c r="A14" s="208"/>
      <c r="B14" s="215"/>
      <c r="C14" s="425"/>
      <c r="D14" s="410"/>
      <c r="E14" s="410"/>
      <c r="F14" s="410"/>
      <c r="G14" s="410"/>
      <c r="H14" s="410"/>
      <c r="I14" s="389"/>
      <c r="J14" s="389"/>
      <c r="K14" s="389"/>
      <c r="L14" s="209"/>
    </row>
    <row r="15" spans="1:12" ht="18" customHeight="1" x14ac:dyDescent="0.35">
      <c r="A15" s="208"/>
      <c r="B15" s="440">
        <v>2</v>
      </c>
      <c r="C15" s="441" t="s">
        <v>10</v>
      </c>
      <c r="D15" s="425"/>
      <c r="E15" s="425"/>
      <c r="F15" s="425"/>
      <c r="G15" s="425"/>
      <c r="H15" s="425"/>
      <c r="I15" s="217"/>
      <c r="J15" s="217"/>
      <c r="K15" s="217"/>
      <c r="L15" s="209"/>
    </row>
    <row r="16" spans="1:12" ht="18" customHeight="1" x14ac:dyDescent="0.35">
      <c r="A16" s="208"/>
      <c r="B16" s="425"/>
      <c r="C16" s="376" t="s">
        <v>11</v>
      </c>
      <c r="D16" s="425"/>
      <c r="E16" s="425"/>
      <c r="F16" s="425"/>
      <c r="G16" s="425"/>
      <c r="H16" s="425"/>
      <c r="I16" s="217"/>
      <c r="J16" s="217"/>
      <c r="K16" s="217"/>
      <c r="L16" s="209"/>
    </row>
    <row r="17" spans="1:12" ht="18" customHeight="1" x14ac:dyDescent="0.35">
      <c r="A17" s="208"/>
      <c r="B17" s="425"/>
      <c r="C17" s="376" t="s">
        <v>12</v>
      </c>
      <c r="D17" s="425"/>
      <c r="E17" s="425"/>
      <c r="F17" s="425"/>
      <c r="G17" s="425"/>
      <c r="H17" s="425"/>
      <c r="I17" s="217"/>
      <c r="J17" s="217"/>
      <c r="K17" s="217"/>
      <c r="L17" s="209"/>
    </row>
    <row r="18" spans="1:12" ht="18" customHeight="1" x14ac:dyDescent="0.3">
      <c r="A18" s="208"/>
      <c r="B18" s="215"/>
      <c r="C18" s="217"/>
      <c r="D18" s="217"/>
      <c r="E18" s="217"/>
      <c r="F18" s="217"/>
      <c r="G18" s="217"/>
      <c r="H18" s="217"/>
      <c r="I18" s="217"/>
      <c r="J18" s="217"/>
      <c r="K18" s="217"/>
      <c r="L18" s="209"/>
    </row>
    <row r="19" spans="1:12" ht="18" customHeight="1" x14ac:dyDescent="0.3">
      <c r="A19" s="208"/>
      <c r="B19" s="440">
        <v>3</v>
      </c>
      <c r="C19" s="442" t="s">
        <v>13</v>
      </c>
      <c r="D19" s="432"/>
      <c r="E19" s="432"/>
      <c r="F19" s="432"/>
      <c r="G19" s="432"/>
      <c r="H19" s="432"/>
      <c r="I19" s="216"/>
      <c r="J19" s="216"/>
      <c r="K19" s="216"/>
      <c r="L19" s="209"/>
    </row>
    <row r="20" spans="1:12" ht="18" customHeight="1" x14ac:dyDescent="0.3">
      <c r="A20" s="208"/>
      <c r="B20" s="433"/>
      <c r="C20" s="414" t="s">
        <v>14</v>
      </c>
      <c r="D20" s="432"/>
      <c r="E20" s="432"/>
      <c r="F20" s="432"/>
      <c r="G20" s="432"/>
      <c r="H20" s="432"/>
      <c r="I20" s="216"/>
      <c r="J20" s="216"/>
      <c r="K20" s="216"/>
      <c r="L20" s="209"/>
    </row>
    <row r="21" spans="1:12" ht="18" customHeight="1" x14ac:dyDescent="0.3">
      <c r="A21" s="208"/>
      <c r="B21" s="433"/>
      <c r="C21" s="436" t="s">
        <v>15</v>
      </c>
      <c r="D21" s="436" t="s">
        <v>16</v>
      </c>
      <c r="E21" s="436" t="s">
        <v>17</v>
      </c>
      <c r="G21" s="432"/>
      <c r="H21" s="432"/>
      <c r="I21" s="216"/>
      <c r="J21" s="216"/>
      <c r="K21" s="216"/>
      <c r="L21" s="209"/>
    </row>
    <row r="22" spans="1:12" ht="18" customHeight="1" x14ac:dyDescent="0.3">
      <c r="A22" s="208"/>
      <c r="B22" s="433"/>
      <c r="D22" s="432"/>
      <c r="E22" s="432"/>
      <c r="F22" s="432"/>
      <c r="G22" s="432"/>
      <c r="H22" s="432"/>
      <c r="I22" s="216"/>
      <c r="J22" s="216"/>
      <c r="K22" s="216"/>
      <c r="L22" s="209"/>
    </row>
    <row r="23" spans="1:12" ht="18" customHeight="1" x14ac:dyDescent="0.3">
      <c r="A23" s="208"/>
      <c r="B23" s="433"/>
      <c r="C23" s="436" t="s">
        <v>18</v>
      </c>
      <c r="D23" s="432"/>
      <c r="E23" s="432"/>
      <c r="F23" s="432"/>
      <c r="G23" s="432"/>
      <c r="H23" s="432"/>
      <c r="I23" s="216"/>
      <c r="J23" s="216"/>
      <c r="K23" s="216"/>
      <c r="L23" s="209"/>
    </row>
    <row r="24" spans="1:12" ht="18" customHeight="1" x14ac:dyDescent="0.3">
      <c r="A24" s="208"/>
      <c r="B24" s="215"/>
      <c r="C24" s="414" t="s">
        <v>19</v>
      </c>
      <c r="D24" s="413"/>
      <c r="E24" s="413"/>
      <c r="F24" s="413"/>
      <c r="G24" s="413"/>
      <c r="H24" s="413"/>
      <c r="I24" s="220"/>
      <c r="J24" s="220"/>
      <c r="K24" s="220"/>
      <c r="L24" s="209"/>
    </row>
    <row r="25" spans="1:12" ht="8.4499999999999993" customHeight="1" x14ac:dyDescent="0.3">
      <c r="A25" s="208"/>
      <c r="B25" s="215"/>
      <c r="C25" s="217"/>
      <c r="D25" s="217"/>
      <c r="E25" s="217"/>
      <c r="F25" s="217"/>
      <c r="G25" s="217"/>
      <c r="H25" s="217"/>
      <c r="I25" s="217"/>
      <c r="J25" s="217"/>
      <c r="K25" s="217"/>
      <c r="L25" s="209"/>
    </row>
    <row r="26" spans="1:12" ht="18" customHeight="1" x14ac:dyDescent="0.3">
      <c r="A26" s="208"/>
      <c r="B26" s="215"/>
      <c r="C26" s="434" t="s">
        <v>20</v>
      </c>
      <c r="E26" s="213"/>
      <c r="F26" s="213"/>
      <c r="G26" s="218"/>
      <c r="H26" s="218"/>
      <c r="L26" s="209"/>
    </row>
    <row r="27" spans="1:12" ht="8.4499999999999993" customHeight="1" x14ac:dyDescent="0.3">
      <c r="A27" s="208"/>
      <c r="B27" s="215"/>
      <c r="D27" s="411"/>
      <c r="E27" s="213"/>
      <c r="F27" s="213"/>
      <c r="G27" s="218"/>
      <c r="H27" s="218"/>
      <c r="L27" s="209"/>
    </row>
    <row r="28" spans="1:12" ht="18" customHeight="1" x14ac:dyDescent="0.3">
      <c r="A28" s="208"/>
      <c r="B28" s="215"/>
      <c r="D28" s="221" t="s">
        <v>21</v>
      </c>
      <c r="E28" s="213"/>
      <c r="F28" s="213"/>
      <c r="G28" s="218"/>
      <c r="H28" s="218"/>
      <c r="L28" s="209"/>
    </row>
    <row r="29" spans="1:12" ht="18" customHeight="1" thickBot="1" x14ac:dyDescent="0.35">
      <c r="A29" s="208"/>
      <c r="B29" s="215"/>
      <c r="D29" s="222" t="s">
        <v>22</v>
      </c>
      <c r="E29" s="223" t="s">
        <v>23</v>
      </c>
      <c r="F29" s="224" t="s">
        <v>23</v>
      </c>
      <c r="G29" s="225" t="s">
        <v>24</v>
      </c>
      <c r="H29" s="226" t="s">
        <v>25</v>
      </c>
      <c r="I29" s="213"/>
      <c r="J29" s="213"/>
      <c r="K29" s="213"/>
      <c r="L29" s="209"/>
    </row>
    <row r="30" spans="1:12" ht="18" customHeight="1" x14ac:dyDescent="0.3">
      <c r="A30" s="208"/>
      <c r="B30" s="215"/>
      <c r="D30" s="227" t="s">
        <v>26</v>
      </c>
      <c r="E30" s="228" t="s">
        <v>27</v>
      </c>
      <c r="F30" s="229" t="s">
        <v>23</v>
      </c>
      <c r="G30" s="230" t="s">
        <v>24</v>
      </c>
      <c r="H30" s="231" t="s">
        <v>25</v>
      </c>
      <c r="I30" s="213"/>
      <c r="J30" s="213"/>
      <c r="K30" s="213"/>
      <c r="L30" s="209"/>
    </row>
    <row r="31" spans="1:12" ht="18" customHeight="1" thickBot="1" x14ac:dyDescent="0.35">
      <c r="A31" s="208"/>
      <c r="B31" s="215"/>
      <c r="D31" s="227" t="s">
        <v>23</v>
      </c>
      <c r="E31" s="232" t="s">
        <v>27</v>
      </c>
      <c r="F31" s="229" t="s">
        <v>23</v>
      </c>
      <c r="G31" s="230" t="s">
        <v>24</v>
      </c>
      <c r="H31" s="233" t="s">
        <v>24</v>
      </c>
      <c r="I31" s="213"/>
      <c r="J31" s="213"/>
      <c r="K31" s="213"/>
      <c r="L31" s="209"/>
    </row>
    <row r="32" spans="1:12" ht="18" customHeight="1" thickBot="1" x14ac:dyDescent="0.35">
      <c r="A32" s="208"/>
      <c r="B32" s="215"/>
      <c r="D32" s="234" t="s">
        <v>27</v>
      </c>
      <c r="E32" s="235" t="s">
        <v>27</v>
      </c>
      <c r="F32" s="236" t="s">
        <v>27</v>
      </c>
      <c r="G32" s="237" t="s">
        <v>23</v>
      </c>
      <c r="H32" s="238" t="s">
        <v>23</v>
      </c>
      <c r="I32" s="239" t="s">
        <v>28</v>
      </c>
      <c r="J32" s="239"/>
      <c r="K32" s="239"/>
      <c r="L32" s="209"/>
    </row>
    <row r="33" spans="1:12" ht="18" customHeight="1" x14ac:dyDescent="0.3">
      <c r="A33" s="208"/>
      <c r="B33" s="215"/>
      <c r="D33" s="437"/>
      <c r="E33" s="240" t="s">
        <v>27</v>
      </c>
      <c r="F33" s="241" t="s">
        <v>23</v>
      </c>
      <c r="G33" s="242" t="s">
        <v>26</v>
      </c>
      <c r="H33" s="243" t="s">
        <v>22</v>
      </c>
      <c r="I33" s="244"/>
      <c r="J33" s="213"/>
      <c r="K33" s="213"/>
      <c r="L33" s="209"/>
    </row>
    <row r="34" spans="1:12" ht="18" customHeight="1" x14ac:dyDescent="0.3">
      <c r="A34" s="208"/>
      <c r="B34" s="215"/>
      <c r="C34" s="245"/>
      <c r="D34" s="458" t="s">
        <v>29</v>
      </c>
      <c r="E34" s="458"/>
      <c r="F34" s="458"/>
      <c r="G34" s="458"/>
      <c r="H34" s="213"/>
      <c r="I34" s="213"/>
      <c r="J34" s="213"/>
      <c r="K34" s="213"/>
      <c r="L34" s="209"/>
    </row>
    <row r="35" spans="1:12" ht="7.9" customHeight="1" x14ac:dyDescent="0.3">
      <c r="A35" s="208"/>
      <c r="B35" s="215"/>
      <c r="C35" s="245"/>
      <c r="D35" s="246"/>
      <c r="E35" s="246"/>
      <c r="F35" s="246"/>
      <c r="G35" s="246"/>
      <c r="H35" s="213"/>
      <c r="I35" s="213"/>
      <c r="J35" s="213"/>
      <c r="K35" s="213"/>
      <c r="L35" s="209"/>
    </row>
    <row r="36" spans="1:12" ht="18" customHeight="1" x14ac:dyDescent="0.3">
      <c r="A36" s="208"/>
      <c r="B36" s="215"/>
      <c r="E36" s="247" t="s">
        <v>27</v>
      </c>
      <c r="F36" s="412" t="s">
        <v>30</v>
      </c>
      <c r="G36" s="245"/>
      <c r="H36" s="213"/>
      <c r="I36" s="213"/>
      <c r="J36" s="213"/>
      <c r="K36" s="213"/>
      <c r="L36" s="209"/>
    </row>
    <row r="37" spans="1:12" ht="18" customHeight="1" x14ac:dyDescent="0.3">
      <c r="A37" s="208"/>
      <c r="B37" s="215"/>
      <c r="E37" s="248" t="s">
        <v>23</v>
      </c>
      <c r="F37" s="412" t="s">
        <v>31</v>
      </c>
      <c r="G37" s="245"/>
      <c r="H37" s="213"/>
      <c r="I37" s="213"/>
      <c r="J37" s="213"/>
      <c r="K37" s="213"/>
      <c r="L37" s="209"/>
    </row>
    <row r="38" spans="1:12" ht="18" customHeight="1" x14ac:dyDescent="0.3">
      <c r="A38" s="208"/>
      <c r="B38" s="215"/>
      <c r="E38" s="249" t="s">
        <v>24</v>
      </c>
      <c r="F38" s="412" t="s">
        <v>31</v>
      </c>
      <c r="G38" s="245"/>
      <c r="H38" s="213"/>
      <c r="I38" s="213"/>
      <c r="J38" s="213"/>
      <c r="K38" s="213"/>
      <c r="L38" s="209"/>
    </row>
    <row r="39" spans="1:12" ht="18" customHeight="1" x14ac:dyDescent="0.3">
      <c r="A39" s="208"/>
      <c r="B39" s="215"/>
      <c r="E39" s="250" t="s">
        <v>25</v>
      </c>
      <c r="F39" s="412" t="s">
        <v>31</v>
      </c>
      <c r="G39" s="245"/>
      <c r="H39" s="213"/>
      <c r="I39" s="213"/>
      <c r="J39" s="213"/>
      <c r="K39" s="213"/>
      <c r="L39" s="209"/>
    </row>
    <row r="40" spans="1:12" ht="12" customHeight="1" x14ac:dyDescent="0.3">
      <c r="A40" s="208"/>
      <c r="B40" s="215"/>
      <c r="C40" s="221"/>
      <c r="D40" s="213"/>
      <c r="E40" s="213"/>
      <c r="F40" s="218"/>
      <c r="G40" s="218"/>
      <c r="L40" s="209"/>
    </row>
    <row r="41" spans="1:12" ht="18" customHeight="1" x14ac:dyDescent="0.3">
      <c r="A41" s="208"/>
      <c r="B41" s="215"/>
      <c r="C41" s="251"/>
      <c r="D41" s="251" t="s">
        <v>32</v>
      </c>
      <c r="E41" s="251"/>
      <c r="F41" s="213"/>
      <c r="G41" s="218"/>
      <c r="H41" s="218"/>
      <c r="L41" s="209"/>
    </row>
    <row r="42" spans="1:12" ht="18" customHeight="1" x14ac:dyDescent="0.3">
      <c r="A42" s="208"/>
      <c r="B42" s="215"/>
      <c r="D42" s="251"/>
      <c r="E42" s="251"/>
      <c r="F42" s="213"/>
      <c r="G42" s="218"/>
      <c r="H42" s="218"/>
      <c r="L42" s="209"/>
    </row>
    <row r="43" spans="1:12" ht="18" customHeight="1" x14ac:dyDescent="0.3">
      <c r="A43" s="208"/>
      <c r="B43" s="215"/>
      <c r="D43" s="252" t="s">
        <v>27</v>
      </c>
      <c r="E43" s="392" t="s">
        <v>33</v>
      </c>
      <c r="F43" s="392"/>
      <c r="G43" s="392"/>
      <c r="H43" s="392"/>
      <c r="I43" s="392"/>
      <c r="J43" s="392"/>
      <c r="L43" s="209"/>
    </row>
    <row r="44" spans="1:12" ht="18" customHeight="1" x14ac:dyDescent="0.3">
      <c r="A44" s="208"/>
      <c r="B44" s="215"/>
      <c r="D44" s="252" t="s">
        <v>23</v>
      </c>
      <c r="E44" s="392" t="s">
        <v>34</v>
      </c>
      <c r="F44" s="392"/>
      <c r="G44" s="392"/>
      <c r="H44" s="392"/>
      <c r="I44" s="392"/>
      <c r="J44" s="392"/>
      <c r="K44" s="253"/>
      <c r="L44" s="209"/>
    </row>
    <row r="45" spans="1:12" ht="18" customHeight="1" x14ac:dyDescent="0.3">
      <c r="A45" s="208"/>
      <c r="B45" s="215"/>
      <c r="D45" s="252" t="s">
        <v>24</v>
      </c>
      <c r="E45" s="392" t="s">
        <v>35</v>
      </c>
      <c r="F45" s="392"/>
      <c r="G45" s="392"/>
      <c r="H45" s="392"/>
      <c r="I45" s="392"/>
      <c r="J45" s="392"/>
      <c r="K45" s="253"/>
      <c r="L45" s="209"/>
    </row>
    <row r="46" spans="1:12" ht="18" customHeight="1" x14ac:dyDescent="0.3">
      <c r="A46" s="208"/>
      <c r="B46" s="215"/>
      <c r="D46" s="252" t="s">
        <v>25</v>
      </c>
      <c r="E46" s="392" t="s">
        <v>36</v>
      </c>
      <c r="F46" s="392"/>
      <c r="G46" s="392"/>
      <c r="H46" s="392"/>
      <c r="I46" s="392"/>
      <c r="J46" s="392"/>
      <c r="K46" s="253"/>
      <c r="L46" s="209"/>
    </row>
    <row r="47" spans="1:12" ht="18" customHeight="1" x14ac:dyDescent="0.3">
      <c r="A47" s="208"/>
      <c r="B47" s="215"/>
      <c r="D47" s="397"/>
      <c r="E47" s="398"/>
      <c r="F47" s="398"/>
      <c r="G47" s="398"/>
      <c r="H47" s="398"/>
      <c r="I47" s="398"/>
      <c r="J47" s="253"/>
      <c r="K47" s="253"/>
      <c r="L47" s="209"/>
    </row>
    <row r="48" spans="1:12" ht="18" customHeight="1" x14ac:dyDescent="0.3">
      <c r="A48" s="208"/>
      <c r="B48" s="215"/>
      <c r="D48" s="251" t="s">
        <v>37</v>
      </c>
      <c r="E48" s="251"/>
      <c r="F48" s="213"/>
      <c r="G48" s="218"/>
      <c r="H48" s="218"/>
      <c r="J48" s="253"/>
      <c r="K48" s="253"/>
      <c r="L48" s="209"/>
    </row>
    <row r="49" spans="1:12" ht="18" customHeight="1" x14ac:dyDescent="0.3">
      <c r="A49" s="208"/>
      <c r="B49" s="215"/>
      <c r="D49" s="252" t="s">
        <v>27</v>
      </c>
      <c r="E49" s="392" t="s">
        <v>38</v>
      </c>
      <c r="F49" s="392"/>
      <c r="G49" s="392"/>
      <c r="H49" s="392"/>
      <c r="I49" s="392"/>
      <c r="J49" s="391"/>
      <c r="K49" s="253"/>
      <c r="L49" s="209"/>
    </row>
    <row r="50" spans="1:12" ht="18" customHeight="1" x14ac:dyDescent="0.3">
      <c r="A50" s="208"/>
      <c r="B50" s="215"/>
      <c r="D50" s="252" t="s">
        <v>23</v>
      </c>
      <c r="E50" s="392" t="s">
        <v>39</v>
      </c>
      <c r="F50" s="392"/>
      <c r="G50" s="392"/>
      <c r="H50" s="392"/>
      <c r="I50" s="392"/>
      <c r="J50" s="391"/>
      <c r="K50" s="253"/>
      <c r="L50" s="209"/>
    </row>
    <row r="51" spans="1:12" ht="18" customHeight="1" x14ac:dyDescent="0.3">
      <c r="A51" s="208"/>
      <c r="B51" s="215"/>
      <c r="D51" s="252" t="s">
        <v>24</v>
      </c>
      <c r="E51" s="392" t="s">
        <v>40</v>
      </c>
      <c r="F51" s="392"/>
      <c r="G51" s="392"/>
      <c r="H51" s="392"/>
      <c r="I51" s="392"/>
      <c r="J51" s="391"/>
      <c r="K51" s="253"/>
      <c r="L51" s="209"/>
    </row>
    <row r="52" spans="1:12" ht="18" customHeight="1" x14ac:dyDescent="0.3">
      <c r="A52" s="208"/>
      <c r="B52" s="215"/>
      <c r="D52" s="252" t="s">
        <v>25</v>
      </c>
      <c r="E52" s="392" t="s">
        <v>41</v>
      </c>
      <c r="F52" s="392"/>
      <c r="G52" s="392"/>
      <c r="H52" s="392"/>
      <c r="I52" s="392"/>
      <c r="J52" s="391"/>
      <c r="K52" s="253"/>
      <c r="L52" s="209"/>
    </row>
    <row r="53" spans="1:12" ht="18" customHeight="1" x14ac:dyDescent="0.3">
      <c r="A53" s="208"/>
      <c r="B53" s="215"/>
      <c r="K53" s="253"/>
      <c r="L53" s="209"/>
    </row>
    <row r="54" spans="1:12" ht="18" customHeight="1" x14ac:dyDescent="0.3">
      <c r="A54" s="208"/>
      <c r="B54" s="215"/>
      <c r="C54" s="397"/>
      <c r="D54" s="398"/>
      <c r="E54" s="398"/>
      <c r="F54" s="398"/>
      <c r="G54" s="398"/>
      <c r="H54" s="398"/>
      <c r="I54" s="398"/>
      <c r="J54" s="398"/>
      <c r="K54" s="253"/>
      <c r="L54" s="209"/>
    </row>
    <row r="55" spans="1:12" ht="18" customHeight="1" x14ac:dyDescent="0.3">
      <c r="A55" s="208"/>
      <c r="B55" s="215"/>
      <c r="C55" s="410" t="s">
        <v>42</v>
      </c>
      <c r="D55" s="398"/>
      <c r="E55" s="398"/>
      <c r="F55" s="398"/>
      <c r="G55" s="398"/>
      <c r="H55" s="398"/>
      <c r="I55" s="398"/>
      <c r="J55" s="398"/>
      <c r="K55" s="253"/>
      <c r="L55" s="209"/>
    </row>
    <row r="56" spans="1:12" ht="18" customHeight="1" x14ac:dyDescent="0.3">
      <c r="A56" s="208"/>
      <c r="B56" s="215"/>
      <c r="C56" s="245" t="s">
        <v>43</v>
      </c>
      <c r="D56" s="398"/>
      <c r="E56" s="398"/>
      <c r="F56" s="398"/>
      <c r="G56" s="398"/>
      <c r="H56" s="398"/>
      <c r="I56" s="398"/>
      <c r="J56" s="398"/>
      <c r="K56" s="253"/>
      <c r="L56" s="209"/>
    </row>
    <row r="57" spans="1:12" ht="18" customHeight="1" x14ac:dyDescent="0.3">
      <c r="A57" s="208"/>
      <c r="B57" s="215"/>
      <c r="C57" s="423" t="s">
        <v>44</v>
      </c>
      <c r="D57" s="398"/>
      <c r="E57" s="398"/>
      <c r="F57" s="398"/>
      <c r="G57" s="398"/>
      <c r="H57" s="398"/>
      <c r="I57" s="398"/>
      <c r="J57" s="398"/>
      <c r="K57" s="253"/>
      <c r="L57" s="209"/>
    </row>
    <row r="58" spans="1:12" ht="18" customHeight="1" x14ac:dyDescent="0.3">
      <c r="A58" s="208"/>
      <c r="B58" s="215"/>
      <c r="C58" s="386" t="s">
        <v>45</v>
      </c>
      <c r="D58" s="398"/>
      <c r="E58" s="398"/>
      <c r="F58" s="398"/>
      <c r="G58" s="398"/>
      <c r="H58" s="398"/>
      <c r="I58" s="398"/>
      <c r="J58" s="398"/>
      <c r="K58" s="253"/>
      <c r="L58" s="209"/>
    </row>
    <row r="59" spans="1:12" ht="18" customHeight="1" x14ac:dyDescent="0.3">
      <c r="A59" s="208"/>
      <c r="B59" s="215"/>
      <c r="C59" s="386" t="s">
        <v>46</v>
      </c>
      <c r="D59" s="398"/>
      <c r="E59" s="398"/>
      <c r="F59" s="398"/>
      <c r="G59" s="398"/>
      <c r="H59" s="398"/>
      <c r="I59" s="398"/>
      <c r="J59" s="398"/>
      <c r="K59" s="253"/>
      <c r="L59" s="209"/>
    </row>
    <row r="60" spans="1:12" ht="18" customHeight="1" x14ac:dyDescent="0.3">
      <c r="A60" s="208"/>
      <c r="B60" s="215"/>
      <c r="C60" s="386"/>
      <c r="D60" s="398"/>
      <c r="E60" s="398"/>
      <c r="F60" s="398"/>
      <c r="G60" s="398"/>
      <c r="H60" s="398"/>
      <c r="I60" s="398"/>
      <c r="J60" s="398"/>
      <c r="K60" s="253"/>
      <c r="L60" s="209"/>
    </row>
    <row r="61" spans="1:12" ht="18" customHeight="1" x14ac:dyDescent="0.3">
      <c r="A61" s="208"/>
      <c r="B61" s="415"/>
      <c r="C61" s="416"/>
      <c r="D61" s="417"/>
      <c r="E61" s="417"/>
      <c r="F61" s="417"/>
      <c r="G61" s="417"/>
      <c r="H61" s="417"/>
      <c r="I61" s="417"/>
      <c r="J61" s="417"/>
      <c r="K61" s="418"/>
      <c r="L61" s="209"/>
    </row>
    <row r="62" spans="1:12" ht="18" customHeight="1" x14ac:dyDescent="0.3">
      <c r="A62" s="208"/>
      <c r="B62" s="415"/>
      <c r="C62" s="454" t="s">
        <v>47</v>
      </c>
      <c r="D62" s="454"/>
      <c r="E62" s="454"/>
      <c r="F62" s="454"/>
      <c r="G62" s="454"/>
      <c r="H62" s="454"/>
      <c r="I62" s="454"/>
      <c r="J62" s="454"/>
      <c r="K62" s="418"/>
      <c r="L62" s="209"/>
    </row>
    <row r="63" spans="1:12" ht="18" customHeight="1" x14ac:dyDescent="0.3">
      <c r="A63" s="208"/>
      <c r="B63" s="415"/>
      <c r="C63" s="419" t="s">
        <v>48</v>
      </c>
      <c r="D63" s="417"/>
      <c r="E63" s="417"/>
      <c r="F63" s="417"/>
      <c r="G63" s="417"/>
      <c r="H63" s="417"/>
      <c r="I63" s="417"/>
      <c r="J63" s="417"/>
      <c r="K63" s="418"/>
      <c r="L63" s="209"/>
    </row>
    <row r="64" spans="1:12" ht="18" customHeight="1" x14ac:dyDescent="0.3">
      <c r="A64" s="208"/>
      <c r="B64" s="415"/>
      <c r="C64" s="419" t="s">
        <v>49</v>
      </c>
      <c r="D64" s="417"/>
      <c r="E64" s="417"/>
      <c r="F64" s="417"/>
      <c r="G64" s="417"/>
      <c r="H64" s="417"/>
      <c r="I64" s="417"/>
      <c r="J64" s="417"/>
      <c r="K64" s="418"/>
      <c r="L64" s="209"/>
    </row>
    <row r="65" spans="1:12" ht="18" customHeight="1" x14ac:dyDescent="0.3">
      <c r="A65" s="208"/>
      <c r="B65" s="415"/>
      <c r="C65" s="419"/>
      <c r="D65" s="417"/>
      <c r="E65" s="417"/>
      <c r="F65" s="417"/>
      <c r="G65" s="417"/>
      <c r="H65" s="417"/>
      <c r="I65" s="417"/>
      <c r="J65" s="417"/>
      <c r="K65" s="418"/>
      <c r="L65" s="209"/>
    </row>
    <row r="66" spans="1:12" ht="18" customHeight="1" x14ac:dyDescent="0.3">
      <c r="A66" s="208"/>
      <c r="B66" s="415"/>
      <c r="C66" s="419"/>
      <c r="D66" s="417"/>
      <c r="E66" s="417"/>
      <c r="F66" s="417"/>
      <c r="G66" s="417"/>
      <c r="H66" s="417"/>
      <c r="I66" s="417"/>
      <c r="J66" s="417"/>
      <c r="K66" s="418"/>
      <c r="L66" s="209"/>
    </row>
    <row r="67" spans="1:12" ht="18" customHeight="1" x14ac:dyDescent="0.3">
      <c r="A67" s="208"/>
      <c r="B67" s="415"/>
      <c r="C67" s="419"/>
      <c r="D67" s="417"/>
      <c r="E67" s="417"/>
      <c r="F67" s="417"/>
      <c r="G67" s="417"/>
      <c r="H67" s="417"/>
      <c r="I67" s="417"/>
      <c r="J67" s="417"/>
      <c r="K67" s="418"/>
      <c r="L67" s="209"/>
    </row>
    <row r="68" spans="1:12" ht="18" customHeight="1" x14ac:dyDescent="0.3">
      <c r="A68" s="208"/>
      <c r="B68" s="415"/>
      <c r="C68" s="419"/>
      <c r="D68" s="417"/>
      <c r="E68" s="417"/>
      <c r="F68" s="417"/>
      <c r="G68" s="417"/>
      <c r="H68" s="417"/>
      <c r="I68" s="417"/>
      <c r="J68" s="417"/>
      <c r="K68" s="418"/>
      <c r="L68" s="209"/>
    </row>
    <row r="69" spans="1:12" ht="18" customHeight="1" x14ac:dyDescent="0.3">
      <c r="A69" s="208"/>
      <c r="B69" s="415"/>
      <c r="C69" s="419"/>
      <c r="D69" s="417"/>
      <c r="E69" s="417"/>
      <c r="F69" s="417"/>
      <c r="G69" s="417"/>
      <c r="H69" s="417"/>
      <c r="I69" s="417"/>
      <c r="J69" s="417"/>
      <c r="K69" s="418"/>
      <c r="L69" s="209"/>
    </row>
    <row r="70" spans="1:12" ht="18" customHeight="1" x14ac:dyDescent="0.3">
      <c r="A70" s="208"/>
      <c r="B70" s="415"/>
      <c r="C70" s="419"/>
      <c r="D70" s="417"/>
      <c r="E70" s="417"/>
      <c r="F70" s="417"/>
      <c r="G70" s="417"/>
      <c r="H70" s="417"/>
      <c r="I70" s="417"/>
      <c r="J70" s="417"/>
      <c r="K70" s="418"/>
      <c r="L70" s="209"/>
    </row>
    <row r="71" spans="1:12" ht="18" customHeight="1" x14ac:dyDescent="0.3">
      <c r="A71" s="208"/>
      <c r="B71" s="415"/>
      <c r="C71" s="419"/>
      <c r="D71" s="417"/>
      <c r="E71" s="417"/>
      <c r="F71" s="417"/>
      <c r="G71" s="417"/>
      <c r="H71" s="417"/>
      <c r="I71" s="417"/>
      <c r="J71" s="417"/>
      <c r="K71" s="418"/>
      <c r="L71" s="209"/>
    </row>
    <row r="72" spans="1:12" ht="18" customHeight="1" x14ac:dyDescent="0.3">
      <c r="A72" s="208"/>
      <c r="B72" s="415"/>
      <c r="C72" s="419"/>
      <c r="D72" s="417"/>
      <c r="E72" s="417"/>
      <c r="F72" s="417"/>
      <c r="G72" s="417"/>
      <c r="H72" s="417"/>
      <c r="I72" s="417"/>
      <c r="J72" s="417"/>
      <c r="K72" s="418"/>
      <c r="L72" s="209"/>
    </row>
    <row r="73" spans="1:12" ht="18" customHeight="1" x14ac:dyDescent="0.3">
      <c r="A73" s="208"/>
      <c r="B73" s="415"/>
      <c r="C73" s="419"/>
      <c r="D73" s="417"/>
      <c r="E73" s="417"/>
      <c r="F73" s="417"/>
      <c r="G73" s="417"/>
      <c r="H73" s="417"/>
      <c r="I73" s="417"/>
      <c r="J73" s="417"/>
      <c r="K73" s="418"/>
      <c r="L73" s="209"/>
    </row>
    <row r="74" spans="1:12" ht="18" customHeight="1" x14ac:dyDescent="0.3">
      <c r="A74" s="208"/>
      <c r="B74" s="415"/>
      <c r="C74" s="419"/>
      <c r="D74" s="417"/>
      <c r="E74" s="417"/>
      <c r="F74" s="417"/>
      <c r="G74" s="417"/>
      <c r="H74" s="417"/>
      <c r="I74" s="417"/>
      <c r="J74" s="417"/>
      <c r="K74" s="418"/>
      <c r="L74" s="209"/>
    </row>
    <row r="75" spans="1:12" ht="18" customHeight="1" x14ac:dyDescent="0.3">
      <c r="A75" s="208"/>
      <c r="B75" s="415"/>
      <c r="C75" s="420"/>
      <c r="D75" s="417"/>
      <c r="E75" s="417"/>
      <c r="F75" s="417"/>
      <c r="G75" s="417"/>
      <c r="H75" s="417"/>
      <c r="I75" s="417"/>
      <c r="J75" s="417"/>
      <c r="K75" s="418"/>
      <c r="L75" s="209"/>
    </row>
    <row r="76" spans="1:12" ht="18" customHeight="1" x14ac:dyDescent="0.3">
      <c r="A76" s="208"/>
      <c r="B76" s="415"/>
      <c r="C76" s="419" t="s">
        <v>50</v>
      </c>
      <c r="D76" s="417"/>
      <c r="E76" s="417"/>
      <c r="F76" s="417"/>
      <c r="G76" s="417"/>
      <c r="H76" s="417"/>
      <c r="I76" s="417"/>
      <c r="J76" s="417"/>
      <c r="K76" s="418"/>
      <c r="L76" s="209"/>
    </row>
    <row r="77" spans="1:12" ht="18" customHeight="1" x14ac:dyDescent="0.3">
      <c r="A77" s="208"/>
      <c r="B77" s="415"/>
      <c r="C77" s="421" t="s">
        <v>51</v>
      </c>
      <c r="D77" s="417"/>
      <c r="E77" s="417"/>
      <c r="F77" s="417"/>
      <c r="G77" s="417"/>
      <c r="H77" s="417"/>
      <c r="I77" s="417"/>
      <c r="J77" s="417"/>
      <c r="K77" s="418"/>
      <c r="L77" s="209"/>
    </row>
    <row r="78" spans="1:12" ht="18" customHeight="1" x14ac:dyDescent="0.3">
      <c r="A78" s="208"/>
      <c r="B78" s="415"/>
      <c r="C78" s="419" t="s">
        <v>52</v>
      </c>
      <c r="D78" s="419"/>
      <c r="E78" s="419"/>
      <c r="F78" s="419"/>
      <c r="G78" s="419"/>
      <c r="H78" s="417"/>
      <c r="I78" s="417"/>
      <c r="J78" s="417"/>
      <c r="K78" s="418"/>
      <c r="L78" s="209"/>
    </row>
    <row r="79" spans="1:12" ht="18" customHeight="1" x14ac:dyDescent="0.3">
      <c r="A79" s="208"/>
      <c r="B79" s="415"/>
      <c r="C79" s="419" t="s">
        <v>53</v>
      </c>
      <c r="D79" s="419"/>
      <c r="E79" s="419"/>
      <c r="F79" s="419"/>
      <c r="G79" s="419"/>
      <c r="H79" s="417"/>
      <c r="I79" s="417"/>
      <c r="J79" s="417"/>
      <c r="K79" s="418"/>
      <c r="L79" s="209"/>
    </row>
    <row r="80" spans="1:12" ht="18" customHeight="1" x14ac:dyDescent="0.3">
      <c r="A80" s="208"/>
      <c r="B80" s="415"/>
      <c r="C80" s="419"/>
      <c r="D80" s="419"/>
      <c r="E80" s="419"/>
      <c r="F80" s="419"/>
      <c r="G80" s="419"/>
      <c r="H80" s="417"/>
      <c r="I80" s="417"/>
      <c r="J80" s="417"/>
      <c r="K80" s="418"/>
      <c r="L80" s="209"/>
    </row>
    <row r="81" spans="1:12" ht="18" customHeight="1" x14ac:dyDescent="0.3">
      <c r="A81" s="208"/>
      <c r="B81" s="415"/>
      <c r="C81" s="421" t="s">
        <v>54</v>
      </c>
      <c r="D81" s="417"/>
      <c r="E81" s="417"/>
      <c r="F81" s="417"/>
      <c r="G81" s="417"/>
      <c r="H81" s="417"/>
      <c r="I81" s="417"/>
      <c r="J81" s="417"/>
      <c r="K81" s="418"/>
      <c r="L81" s="209"/>
    </row>
    <row r="82" spans="1:12" x14ac:dyDescent="0.3">
      <c r="A82" s="208"/>
      <c r="B82" s="415"/>
      <c r="C82" s="419" t="s">
        <v>55</v>
      </c>
      <c r="D82" s="417"/>
      <c r="E82" s="417"/>
      <c r="F82" s="417"/>
      <c r="G82" s="417"/>
      <c r="H82" s="417"/>
      <c r="I82" s="417"/>
      <c r="J82" s="417"/>
      <c r="K82" s="418"/>
      <c r="L82" s="209"/>
    </row>
    <row r="83" spans="1:12" ht="18" customHeight="1" x14ac:dyDescent="0.3">
      <c r="A83" s="208"/>
      <c r="B83" s="415"/>
      <c r="C83" s="419"/>
      <c r="D83" s="415"/>
      <c r="E83" s="415"/>
      <c r="F83" s="417"/>
      <c r="G83" s="417"/>
      <c r="H83" s="417"/>
      <c r="I83" s="417"/>
      <c r="J83" s="417"/>
      <c r="K83" s="418"/>
      <c r="L83" s="209"/>
    </row>
    <row r="84" spans="1:12" ht="18" customHeight="1" x14ac:dyDescent="0.3">
      <c r="A84" s="208"/>
      <c r="B84" s="215"/>
      <c r="C84" s="397"/>
      <c r="D84" s="402"/>
      <c r="E84" s="402"/>
      <c r="F84" s="398"/>
      <c r="G84" s="398"/>
      <c r="H84" s="398"/>
      <c r="I84" s="398"/>
      <c r="J84" s="398"/>
      <c r="K84" s="253"/>
      <c r="L84" s="209"/>
    </row>
    <row r="85" spans="1:12" ht="18" customHeight="1" x14ac:dyDescent="0.3">
      <c r="A85" s="208"/>
      <c r="B85" s="444">
        <v>4</v>
      </c>
      <c r="C85" s="443" t="s">
        <v>56</v>
      </c>
      <c r="D85" s="402"/>
      <c r="E85" s="402"/>
      <c r="F85" s="398"/>
      <c r="G85" s="398"/>
      <c r="H85" s="398"/>
      <c r="I85" s="398"/>
      <c r="J85" s="398"/>
      <c r="K85" s="253"/>
      <c r="L85" s="209"/>
    </row>
    <row r="86" spans="1:12" ht="18" customHeight="1" x14ac:dyDescent="0.3">
      <c r="A86" s="208"/>
      <c r="B86" s="215"/>
      <c r="C86" s="376" t="s">
        <v>57</v>
      </c>
      <c r="D86" s="402"/>
      <c r="E86" s="402"/>
      <c r="F86" s="398"/>
      <c r="G86" s="398"/>
      <c r="H86" s="398"/>
      <c r="I86" s="398"/>
      <c r="J86" s="398"/>
      <c r="K86" s="253"/>
      <c r="L86" s="209"/>
    </row>
    <row r="87" spans="1:12" ht="18" customHeight="1" x14ac:dyDescent="0.3">
      <c r="A87" s="208"/>
      <c r="B87" s="215"/>
      <c r="C87" s="397"/>
      <c r="D87" s="402"/>
      <c r="E87" s="402"/>
      <c r="F87" s="398"/>
      <c r="G87" s="398"/>
      <c r="H87" s="398"/>
      <c r="I87" s="398"/>
      <c r="J87" s="398"/>
      <c r="K87" s="253"/>
      <c r="L87" s="209"/>
    </row>
    <row r="88" spans="1:12" ht="18" customHeight="1" x14ac:dyDescent="0.3">
      <c r="A88" s="208"/>
      <c r="B88" s="444">
        <v>5</v>
      </c>
      <c r="C88" s="443" t="s">
        <v>58</v>
      </c>
      <c r="D88" s="402"/>
      <c r="E88" s="402"/>
      <c r="F88" s="398"/>
      <c r="G88" s="398"/>
      <c r="H88" s="398"/>
      <c r="I88" s="398"/>
      <c r="J88" s="398"/>
      <c r="K88" s="253"/>
      <c r="L88" s="209"/>
    </row>
    <row r="89" spans="1:12" ht="18" customHeight="1" x14ac:dyDescent="0.3">
      <c r="A89" s="208"/>
      <c r="B89" s="215"/>
      <c r="C89" s="376" t="s">
        <v>59</v>
      </c>
      <c r="D89" s="402"/>
      <c r="E89" s="402"/>
      <c r="F89" s="398"/>
      <c r="G89" s="398"/>
      <c r="H89" s="398"/>
      <c r="I89" s="398"/>
      <c r="J89" s="398"/>
      <c r="K89" s="253"/>
      <c r="L89" s="209"/>
    </row>
    <row r="90" spans="1:12" ht="18" customHeight="1" x14ac:dyDescent="0.3">
      <c r="A90" s="208"/>
      <c r="B90" s="215"/>
      <c r="C90" s="397"/>
      <c r="D90" s="402"/>
      <c r="E90" s="402"/>
      <c r="F90" s="398"/>
      <c r="G90" s="398"/>
      <c r="H90" s="398"/>
      <c r="I90" s="398"/>
      <c r="J90" s="398"/>
      <c r="K90" s="253"/>
      <c r="L90" s="209"/>
    </row>
    <row r="91" spans="1:12" ht="18" customHeight="1" x14ac:dyDescent="0.3">
      <c r="A91" s="208"/>
      <c r="B91" s="440">
        <v>6</v>
      </c>
      <c r="C91" s="445" t="s">
        <v>60</v>
      </c>
      <c r="D91" s="399"/>
      <c r="E91" s="399"/>
      <c r="F91" s="402"/>
      <c r="G91" s="402"/>
      <c r="H91" s="402"/>
      <c r="I91" s="219"/>
      <c r="J91" s="219"/>
      <c r="K91" s="219"/>
      <c r="L91" s="209"/>
    </row>
    <row r="92" spans="1:12" ht="18" customHeight="1" x14ac:dyDescent="0.3">
      <c r="A92" s="208"/>
      <c r="B92" s="215"/>
      <c r="C92" s="402" t="s">
        <v>61</v>
      </c>
      <c r="D92" s="217"/>
      <c r="E92" s="217"/>
      <c r="F92" s="403"/>
      <c r="G92" s="403"/>
      <c r="H92" s="403"/>
      <c r="I92" s="219"/>
      <c r="J92" s="219"/>
      <c r="K92" s="219"/>
      <c r="L92" s="209"/>
    </row>
    <row r="93" spans="1:12" ht="18" customHeight="1" x14ac:dyDescent="0.3">
      <c r="A93" s="208"/>
      <c r="B93" s="215"/>
      <c r="C93" s="403" t="s">
        <v>62</v>
      </c>
      <c r="D93" s="399"/>
      <c r="E93" s="399"/>
      <c r="F93" s="219"/>
      <c r="G93" s="219"/>
      <c r="H93" s="219"/>
      <c r="I93" s="219"/>
      <c r="J93" s="219"/>
      <c r="K93" s="219"/>
      <c r="L93" s="209"/>
    </row>
    <row r="94" spans="1:12" ht="18" customHeight="1" x14ac:dyDescent="0.3">
      <c r="A94" s="208"/>
      <c r="B94" s="215"/>
      <c r="C94" s="219"/>
      <c r="D94" s="218"/>
      <c r="E94" s="218"/>
      <c r="F94" s="217"/>
      <c r="G94" s="217"/>
      <c r="H94" s="217"/>
      <c r="I94" s="217"/>
      <c r="J94" s="217"/>
      <c r="K94" s="217"/>
      <c r="L94" s="209"/>
    </row>
    <row r="95" spans="1:12" ht="18" customHeight="1" x14ac:dyDescent="0.3">
      <c r="A95" s="208"/>
      <c r="B95" s="215"/>
      <c r="C95" s="390" t="s">
        <v>63</v>
      </c>
      <c r="D95" s="216"/>
      <c r="E95" s="216"/>
      <c r="F95" s="217"/>
      <c r="G95" s="217"/>
      <c r="H95" s="217"/>
      <c r="I95" s="217"/>
      <c r="J95" s="217"/>
      <c r="K95" s="217"/>
      <c r="L95" s="209"/>
    </row>
    <row r="96" spans="1:12" ht="18" customHeight="1" x14ac:dyDescent="0.3">
      <c r="A96" s="208"/>
      <c r="B96" s="215"/>
      <c r="C96" s="390" t="s">
        <v>64</v>
      </c>
      <c r="D96" s="216"/>
      <c r="E96" s="216"/>
      <c r="F96" s="217"/>
      <c r="G96" s="217"/>
      <c r="H96" s="217"/>
      <c r="I96" s="217"/>
      <c r="J96" s="217"/>
      <c r="K96" s="217"/>
      <c r="L96" s="209"/>
    </row>
    <row r="97" spans="1:12" ht="18" customHeight="1" x14ac:dyDescent="0.3">
      <c r="A97" s="208"/>
      <c r="B97" s="215"/>
      <c r="C97" s="453" t="s">
        <v>65</v>
      </c>
      <c r="D97" s="453"/>
      <c r="E97" s="453"/>
      <c r="F97" s="453"/>
      <c r="G97" s="453"/>
      <c r="H97" s="453"/>
      <c r="I97" s="453"/>
      <c r="J97" s="453"/>
      <c r="K97" s="217"/>
      <c r="L97" s="209"/>
    </row>
    <row r="98" spans="1:12" ht="18" customHeight="1" x14ac:dyDescent="0.3">
      <c r="A98" s="208"/>
      <c r="B98" s="215"/>
      <c r="C98" s="453"/>
      <c r="D98" s="453"/>
      <c r="E98" s="453"/>
      <c r="F98" s="453"/>
      <c r="G98" s="453"/>
      <c r="H98" s="453"/>
      <c r="I98" s="453"/>
      <c r="J98" s="453"/>
      <c r="L98" s="209"/>
    </row>
    <row r="99" spans="1:12" ht="18" customHeight="1" x14ac:dyDescent="0.3">
      <c r="A99" s="208"/>
      <c r="B99" s="215"/>
      <c r="C99" s="217"/>
      <c r="D99" s="217"/>
      <c r="E99" s="217"/>
      <c r="F99" s="217"/>
      <c r="G99" s="217"/>
      <c r="H99" s="217"/>
      <c r="I99" s="217"/>
      <c r="J99" s="217"/>
      <c r="L99" s="209"/>
    </row>
    <row r="100" spans="1:12" ht="18" customHeight="1" x14ac:dyDescent="0.3">
      <c r="A100" s="208"/>
      <c r="B100" s="215"/>
      <c r="C100" s="400" t="s">
        <v>66</v>
      </c>
      <c r="D100" s="216"/>
      <c r="E100" s="211"/>
      <c r="F100" s="399"/>
      <c r="G100" s="399"/>
      <c r="H100" s="399"/>
      <c r="I100" s="254"/>
      <c r="J100" s="254"/>
      <c r="K100" s="254"/>
      <c r="L100" s="209"/>
    </row>
    <row r="101" spans="1:12" ht="18" customHeight="1" x14ac:dyDescent="0.3">
      <c r="A101" s="208"/>
      <c r="B101" s="215"/>
      <c r="C101" s="400" t="s">
        <v>67</v>
      </c>
      <c r="D101" s="211"/>
      <c r="E101" s="211"/>
      <c r="F101" s="399"/>
      <c r="G101" s="399"/>
      <c r="H101" s="399"/>
      <c r="I101" s="217"/>
      <c r="J101" s="217"/>
      <c r="K101" s="217"/>
      <c r="L101" s="209"/>
    </row>
    <row r="102" spans="1:12" ht="18" customHeight="1" x14ac:dyDescent="0.3">
      <c r="A102" s="208"/>
      <c r="B102" s="215"/>
      <c r="C102" s="401" t="s">
        <v>68</v>
      </c>
      <c r="D102" s="399"/>
      <c r="E102" s="399"/>
      <c r="F102" s="399"/>
      <c r="G102" s="399"/>
      <c r="H102" s="399"/>
      <c r="I102" s="217"/>
      <c r="J102" s="217"/>
      <c r="K102" s="217"/>
      <c r="L102" s="209"/>
    </row>
    <row r="103" spans="1:12" ht="18" customHeight="1" x14ac:dyDescent="0.3">
      <c r="A103" s="208"/>
      <c r="B103" s="215"/>
      <c r="C103" s="401" t="s">
        <v>69</v>
      </c>
      <c r="D103" s="399"/>
      <c r="E103" s="399"/>
      <c r="F103" s="399"/>
      <c r="G103" s="399"/>
      <c r="H103" s="399"/>
      <c r="I103" s="217"/>
      <c r="J103" s="217"/>
      <c r="K103" s="217"/>
      <c r="L103" s="209"/>
    </row>
    <row r="104" spans="1:12" ht="18" customHeight="1" x14ac:dyDescent="0.3">
      <c r="A104" s="208"/>
      <c r="B104" s="215"/>
      <c r="C104" s="401" t="s">
        <v>70</v>
      </c>
      <c r="D104" s="255"/>
      <c r="E104" s="255"/>
      <c r="F104" s="218"/>
      <c r="G104" s="218"/>
      <c r="L104" s="209"/>
    </row>
    <row r="105" spans="1:12" ht="18" customHeight="1" x14ac:dyDescent="0.3">
      <c r="A105" s="208"/>
      <c r="B105" s="215"/>
      <c r="C105" s="218"/>
      <c r="D105" s="254"/>
      <c r="E105" s="254"/>
      <c r="F105" s="211"/>
      <c r="G105" s="211"/>
      <c r="L105" s="209"/>
    </row>
    <row r="106" spans="1:12" ht="18" customHeight="1" x14ac:dyDescent="0.35">
      <c r="A106" s="208"/>
      <c r="B106" s="215"/>
      <c r="C106" s="446" t="s">
        <v>71</v>
      </c>
      <c r="D106" s="254"/>
      <c r="E106" s="254"/>
      <c r="F106" s="211"/>
      <c r="G106" s="211"/>
      <c r="L106" s="209"/>
    </row>
    <row r="107" spans="1:12" ht="18" customHeight="1" x14ac:dyDescent="0.3">
      <c r="A107" s="208"/>
      <c r="B107" s="215"/>
      <c r="C107" s="400" t="s">
        <v>72</v>
      </c>
      <c r="F107" s="399"/>
      <c r="G107" s="399"/>
      <c r="H107" s="399"/>
      <c r="I107" s="217"/>
      <c r="J107" s="217"/>
      <c r="K107" s="217"/>
      <c r="L107" s="209"/>
    </row>
    <row r="108" spans="1:12" ht="11.45" customHeight="1" x14ac:dyDescent="0.3">
      <c r="A108" s="208"/>
      <c r="B108" s="215"/>
      <c r="C108" s="399"/>
      <c r="F108" s="255"/>
      <c r="G108" s="255"/>
      <c r="H108" s="255"/>
      <c r="I108" s="255"/>
      <c r="J108" s="255"/>
      <c r="K108" s="255"/>
      <c r="L108" s="209"/>
    </row>
    <row r="109" spans="1:12" ht="18" customHeight="1" x14ac:dyDescent="0.3">
      <c r="A109" s="208"/>
      <c r="B109" s="215"/>
      <c r="C109" s="426" t="s">
        <v>73</v>
      </c>
      <c r="F109" s="254"/>
      <c r="G109" s="254"/>
      <c r="H109" s="254"/>
      <c r="I109" s="254"/>
      <c r="J109" s="254"/>
      <c r="K109" s="254"/>
      <c r="L109" s="209"/>
    </row>
    <row r="110" spans="1:12" ht="18" customHeight="1" x14ac:dyDescent="0.3">
      <c r="A110" s="208"/>
      <c r="B110" s="215"/>
      <c r="C110" s="390" t="s">
        <v>74</v>
      </c>
      <c r="F110" s="254"/>
      <c r="G110" s="254"/>
      <c r="H110" s="254"/>
      <c r="I110" s="254"/>
      <c r="J110" s="254"/>
      <c r="K110" s="254"/>
      <c r="L110" s="209"/>
    </row>
    <row r="111" spans="1:12" ht="18" customHeight="1" x14ac:dyDescent="0.3">
      <c r="A111" s="208"/>
      <c r="B111" s="215"/>
      <c r="C111" s="254"/>
      <c r="D111" s="218"/>
      <c r="F111" s="387" t="s">
        <v>75</v>
      </c>
      <c r="G111" s="388"/>
      <c r="I111" s="254"/>
      <c r="J111" s="254"/>
      <c r="K111" s="254"/>
      <c r="L111" s="209"/>
    </row>
    <row r="112" spans="1:12" ht="18" customHeight="1" x14ac:dyDescent="0.3">
      <c r="A112" s="208"/>
      <c r="B112" s="215"/>
      <c r="C112" s="254"/>
      <c r="D112" s="218"/>
      <c r="F112" s="256" t="str">
        <f>AMDEC!Z1</f>
        <v>0 - 249</v>
      </c>
      <c r="G112" s="256" t="s">
        <v>76</v>
      </c>
      <c r="I112" s="254"/>
      <c r="J112" s="254"/>
      <c r="K112" s="254"/>
      <c r="L112" s="209"/>
    </row>
    <row r="113" spans="1:12" ht="18" customHeight="1" x14ac:dyDescent="0.3">
      <c r="A113" s="208"/>
      <c r="B113" s="215"/>
      <c r="C113" s="254"/>
      <c r="D113" s="218"/>
      <c r="F113" s="257" t="str">
        <f>AMDEC!Z2</f>
        <v>250 - 499</v>
      </c>
      <c r="G113" s="257" t="s">
        <v>77</v>
      </c>
      <c r="I113" s="254"/>
      <c r="J113" s="254"/>
      <c r="K113" s="254"/>
      <c r="L113" s="209"/>
    </row>
    <row r="114" spans="1:12" ht="18" customHeight="1" x14ac:dyDescent="0.3">
      <c r="A114" s="208"/>
      <c r="B114" s="215"/>
      <c r="C114" s="254"/>
      <c r="F114" s="258" t="str">
        <f>AMDEC!Z4</f>
        <v>500 - 749</v>
      </c>
      <c r="G114" s="258" t="s">
        <v>78</v>
      </c>
      <c r="I114" s="254"/>
      <c r="J114" s="254"/>
      <c r="K114" s="254"/>
      <c r="L114" s="209"/>
    </row>
    <row r="115" spans="1:12" ht="18" customHeight="1" x14ac:dyDescent="0.3">
      <c r="A115" s="208"/>
      <c r="B115" s="215"/>
      <c r="C115" s="254"/>
      <c r="F115" s="259" t="str">
        <f>AMDEC!Z5</f>
        <v>750 - 1000</v>
      </c>
      <c r="G115" s="259" t="s">
        <v>79</v>
      </c>
      <c r="I115" s="254"/>
      <c r="J115" s="254"/>
      <c r="K115" s="254"/>
      <c r="L115" s="209"/>
    </row>
    <row r="116" spans="1:12" ht="18" customHeight="1" x14ac:dyDescent="0.3">
      <c r="A116" s="208"/>
      <c r="B116" s="215"/>
      <c r="C116" s="254"/>
      <c r="F116" s="218"/>
      <c r="G116" s="218"/>
      <c r="I116" s="254"/>
      <c r="J116" s="254"/>
      <c r="K116" s="254"/>
      <c r="L116" s="209"/>
    </row>
    <row r="117" spans="1:12" ht="18" customHeight="1" x14ac:dyDescent="0.3">
      <c r="A117" s="208"/>
      <c r="B117" s="440">
        <v>7</v>
      </c>
      <c r="C117" s="447" t="s">
        <v>80</v>
      </c>
      <c r="F117" s="218"/>
      <c r="G117" s="218"/>
      <c r="L117" s="209"/>
    </row>
    <row r="118" spans="1:12" ht="18" customHeight="1" x14ac:dyDescent="0.3">
      <c r="A118" s="208"/>
      <c r="B118" s="440"/>
      <c r="C118" s="445"/>
      <c r="F118" s="218"/>
      <c r="G118" s="218"/>
      <c r="L118" s="209"/>
    </row>
    <row r="119" spans="1:12" ht="18" customHeight="1" x14ac:dyDescent="0.3">
      <c r="A119" s="208"/>
      <c r="B119" s="440"/>
      <c r="C119" s="445"/>
      <c r="F119" s="218"/>
      <c r="G119" s="218"/>
      <c r="L119" s="209"/>
    </row>
    <row r="120" spans="1:12" ht="18" customHeight="1" x14ac:dyDescent="0.3">
      <c r="A120" s="208"/>
      <c r="B120" s="440"/>
      <c r="C120" s="445"/>
      <c r="F120" s="218"/>
      <c r="G120" s="218"/>
      <c r="L120" s="209"/>
    </row>
    <row r="121" spans="1:12" ht="18" customHeight="1" x14ac:dyDescent="0.3">
      <c r="A121" s="208"/>
      <c r="B121" s="440"/>
      <c r="C121" s="445"/>
      <c r="F121" s="218"/>
      <c r="G121" s="218"/>
      <c r="L121" s="209"/>
    </row>
    <row r="122" spans="1:12" x14ac:dyDescent="0.3">
      <c r="A122" s="208"/>
      <c r="B122" s="208"/>
      <c r="C122" s="208"/>
      <c r="D122" s="208"/>
      <c r="E122" s="208"/>
      <c r="F122" s="208"/>
      <c r="G122" s="208"/>
      <c r="H122" s="208"/>
      <c r="I122" s="208"/>
      <c r="J122" s="208"/>
      <c r="K122" s="208"/>
      <c r="L122" s="209"/>
    </row>
  </sheetData>
  <mergeCells count="7">
    <mergeCell ref="C97:J98"/>
    <mergeCell ref="C62:J62"/>
    <mergeCell ref="B3:C3"/>
    <mergeCell ref="B8:C8"/>
    <mergeCell ref="B1:I1"/>
    <mergeCell ref="B2:I2"/>
    <mergeCell ref="D34:G34"/>
  </mergeCells>
  <hyperlinks>
    <hyperlink ref="C5" location="'Risques et Actions'!A1" display="1. &quot;Pilotage risques et actions&quot;" xr:uid="{FB701CB0-194A-4FF8-BCAC-58CC69125651}"/>
    <hyperlink ref="C6" location="AMDEC!A1" display="2. &quot;AMDEC&quot;" xr:uid="{12C6D55B-DE74-4718-8EBF-A9430C2A01CB}"/>
    <hyperlink ref="C12" location="Introduction!A1" display="Introduction" xr:uid="{BFB5EFE5-4A86-4187-99EB-C78E538C7D1C}"/>
    <hyperlink ref="C15" location="'Aide aux risques'!A1" display="Aide aux risques" xr:uid="{8E97CCB9-0FF6-4573-BD4D-E0E064A56FD2}"/>
    <hyperlink ref="C19:H19" location="'Risques et actions'!A1" display="Risques et actions" xr:uid="{B33D1679-DE9C-49C4-8166-06CE93D93D33}"/>
    <hyperlink ref="C91" location="AMDEC!A1" display="AMDEC (FMEA)" xr:uid="{5F9BC3D9-456F-4D70-A1EC-92524DE7A99B}"/>
    <hyperlink ref="C88" location="'Facteurs de notation (AMDEC)'!A1" display="Facteurs de notation (AMDEC)" xr:uid="{ED05F205-A1EB-4885-962E-0BE093F97CFD}"/>
    <hyperlink ref="C117" location="'AMDEC Rapport'!A1" display="AMDEC Rapport" xr:uid="{5668F91B-C5E8-4729-A962-EAB69890E0EA}"/>
    <hyperlink ref="C85" location="Dashboards!A1" display="Dashboards" xr:uid="{E24EA189-1FE7-45E0-91B6-CF66949C0408}"/>
  </hyperlinks>
  <pageMargins left="0.70866141732283472" right="0.70866141732283472" top="0.94488188976377963" bottom="0.74803149606299213" header="0.31496062992125984" footer="0.31496062992125984"/>
  <pageSetup paperSize="9" scale="48" orientation="portrait" r:id="rId1"/>
  <headerFooter>
    <oddHeader xml:space="preserve">&amp;L&amp;G&amp;C&amp;"Lato,Normal"Matrices de pilotage des risques&amp;R&amp;"Lato,Normal"Enregistrement 
Réf. :ENR-QUA-10 
Indice :3.0
Confidentialité : Restreint   </oddHeader>
  </headerFooter>
  <rowBreaks count="1" manualBreakCount="1">
    <brk id="83"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85D9-59CF-403F-B870-DC6C16C644AF}">
  <sheetPr>
    <tabColor theme="7" tint="0.79998168889431442"/>
    <pageSetUpPr fitToPage="1"/>
  </sheetPr>
  <dimension ref="A1:M91"/>
  <sheetViews>
    <sheetView showGridLines="0" view="pageLayout" topLeftCell="N4" zoomScaleNormal="100" zoomScaleSheetLayoutView="40" workbookViewId="0">
      <selection activeCell="N4" sqref="N4"/>
    </sheetView>
  </sheetViews>
  <sheetFormatPr defaultColWidth="15.85546875" defaultRowHeight="14.25" x14ac:dyDescent="0.3"/>
  <cols>
    <col min="1" max="2" width="2.5703125" style="210" customWidth="1"/>
    <col min="3" max="12" width="13.140625" style="210" customWidth="1"/>
    <col min="13" max="13" width="2.7109375" style="210" customWidth="1"/>
    <col min="14" max="16384" width="15.85546875" style="210"/>
  </cols>
  <sheetData>
    <row r="1" spans="1:13" ht="22.15" customHeight="1" x14ac:dyDescent="0.3">
      <c r="A1" s="208"/>
      <c r="B1" s="208"/>
      <c r="C1" s="459" t="s">
        <v>81</v>
      </c>
      <c r="D1" s="459"/>
      <c r="E1" s="459"/>
      <c r="F1" s="459"/>
      <c r="G1" s="459"/>
      <c r="H1" s="459"/>
      <c r="I1" s="459"/>
      <c r="J1" s="459"/>
      <c r="K1" s="459"/>
      <c r="L1" s="459"/>
      <c r="M1" s="209"/>
    </row>
    <row r="2" spans="1:13" ht="18" customHeight="1" x14ac:dyDescent="0.3">
      <c r="A2" s="208"/>
      <c r="B2" s="218"/>
      <c r="C2" s="431"/>
      <c r="D2" s="431"/>
      <c r="E2" s="431"/>
      <c r="F2" s="431"/>
      <c r="G2" s="431"/>
      <c r="H2" s="431"/>
      <c r="I2" s="431"/>
      <c r="J2" s="431"/>
      <c r="K2" s="431"/>
      <c r="L2" s="431"/>
      <c r="M2" s="209"/>
    </row>
    <row r="3" spans="1:13" ht="19.899999999999999" customHeight="1" x14ac:dyDescent="0.3">
      <c r="A3" s="208"/>
      <c r="B3" s="218"/>
      <c r="C3" s="461" t="s">
        <v>82</v>
      </c>
      <c r="D3" s="461"/>
      <c r="E3" s="461"/>
      <c r="F3" s="461"/>
      <c r="G3" s="461"/>
      <c r="H3" s="461"/>
      <c r="I3" s="461"/>
      <c r="J3" s="461"/>
      <c r="K3" s="461"/>
      <c r="L3" s="461"/>
      <c r="M3" s="209"/>
    </row>
    <row r="4" spans="1:13" ht="15" customHeight="1" x14ac:dyDescent="0.3">
      <c r="A4" s="208"/>
      <c r="B4" s="218"/>
      <c r="C4" s="460" t="s">
        <v>83</v>
      </c>
      <c r="D4" s="460"/>
      <c r="E4" s="460"/>
      <c r="F4" s="460"/>
      <c r="G4" s="460"/>
      <c r="H4" s="460"/>
      <c r="I4" s="460"/>
      <c r="J4" s="460"/>
      <c r="K4" s="460"/>
      <c r="L4" s="460"/>
      <c r="M4" s="209"/>
    </row>
    <row r="5" spans="1:13" ht="15" customHeight="1" x14ac:dyDescent="0.3">
      <c r="A5" s="208"/>
      <c r="B5" s="218"/>
      <c r="C5" s="422" t="s">
        <v>84</v>
      </c>
      <c r="D5" s="422"/>
      <c r="E5" s="422"/>
      <c r="F5" s="422"/>
      <c r="G5" s="422"/>
      <c r="H5" s="422"/>
      <c r="I5" s="422"/>
      <c r="J5" s="422"/>
      <c r="K5" s="422"/>
      <c r="L5" s="422"/>
      <c r="M5" s="209"/>
    </row>
    <row r="6" spans="1:13" ht="15" customHeight="1" x14ac:dyDescent="0.3">
      <c r="A6" s="208"/>
      <c r="B6" s="218"/>
      <c r="C6" s="422"/>
      <c r="D6" s="422"/>
      <c r="E6" s="422"/>
      <c r="F6" s="422"/>
      <c r="G6" s="422"/>
      <c r="H6" s="422"/>
      <c r="I6" s="422"/>
      <c r="J6" s="422"/>
      <c r="K6" s="422"/>
      <c r="L6" s="422"/>
      <c r="M6" s="209"/>
    </row>
    <row r="7" spans="1:13" ht="24.75" customHeight="1" x14ac:dyDescent="0.3">
      <c r="A7" s="208"/>
      <c r="B7" s="218"/>
      <c r="C7" s="461" t="s">
        <v>85</v>
      </c>
      <c r="D7" s="461"/>
      <c r="E7" s="461"/>
      <c r="F7" s="461"/>
      <c r="G7" s="461"/>
      <c r="H7" s="461"/>
      <c r="I7" s="461"/>
      <c r="J7" s="461"/>
      <c r="K7" s="461"/>
      <c r="L7" s="461"/>
      <c r="M7" s="209"/>
    </row>
    <row r="8" spans="1:13" ht="15" customHeight="1" x14ac:dyDescent="0.3">
      <c r="A8" s="208"/>
      <c r="B8" s="218"/>
      <c r="M8" s="209"/>
    </row>
    <row r="9" spans="1:13" ht="15" customHeight="1" x14ac:dyDescent="0.3">
      <c r="A9" s="208"/>
      <c r="B9" s="218"/>
      <c r="M9" s="209"/>
    </row>
    <row r="10" spans="1:13" ht="15" customHeight="1" x14ac:dyDescent="0.3">
      <c r="A10" s="208"/>
      <c r="B10" s="218"/>
      <c r="M10" s="209"/>
    </row>
    <row r="11" spans="1:13" ht="15" customHeight="1" x14ac:dyDescent="0.3">
      <c r="A11" s="208"/>
      <c r="B11" s="218"/>
      <c r="M11" s="209"/>
    </row>
    <row r="12" spans="1:13" ht="13.9" customHeight="1" x14ac:dyDescent="0.3">
      <c r="A12" s="208"/>
      <c r="B12" s="218"/>
      <c r="M12" s="209"/>
    </row>
    <row r="13" spans="1:13" ht="13.9" customHeight="1" x14ac:dyDescent="0.3">
      <c r="A13" s="208"/>
      <c r="B13" s="218"/>
      <c r="M13" s="209"/>
    </row>
    <row r="14" spans="1:13" ht="13.9" customHeight="1" x14ac:dyDescent="0.3">
      <c r="A14" s="208"/>
      <c r="B14" s="218"/>
      <c r="M14" s="209"/>
    </row>
    <row r="15" spans="1:13" ht="13.9" customHeight="1" x14ac:dyDescent="0.3">
      <c r="A15" s="208"/>
      <c r="B15" s="218"/>
      <c r="M15" s="209"/>
    </row>
    <row r="16" spans="1:13" ht="13.9" customHeight="1" x14ac:dyDescent="0.3">
      <c r="A16" s="208"/>
      <c r="B16" s="218"/>
      <c r="M16" s="209"/>
    </row>
    <row r="17" spans="1:13" ht="13.9" customHeight="1" x14ac:dyDescent="0.3">
      <c r="A17" s="208"/>
      <c r="B17" s="218"/>
      <c r="M17" s="209"/>
    </row>
    <row r="18" spans="1:13" ht="13.9" customHeight="1" x14ac:dyDescent="0.3">
      <c r="A18" s="208"/>
      <c r="B18" s="218"/>
      <c r="M18" s="209"/>
    </row>
    <row r="19" spans="1:13" ht="13.9" customHeight="1" x14ac:dyDescent="0.3">
      <c r="A19" s="208"/>
      <c r="B19" s="218"/>
      <c r="M19" s="209"/>
    </row>
    <row r="20" spans="1:13" ht="13.9" customHeight="1" x14ac:dyDescent="0.3">
      <c r="A20" s="208"/>
      <c r="B20" s="218"/>
      <c r="M20" s="209"/>
    </row>
    <row r="21" spans="1:13" ht="13.9" customHeight="1" x14ac:dyDescent="0.3">
      <c r="A21" s="208"/>
      <c r="B21" s="218"/>
      <c r="M21" s="209"/>
    </row>
    <row r="22" spans="1:13" ht="13.9" customHeight="1" x14ac:dyDescent="0.3">
      <c r="A22" s="208"/>
      <c r="B22" s="218"/>
      <c r="M22" s="209"/>
    </row>
    <row r="23" spans="1:13" ht="13.9" customHeight="1" x14ac:dyDescent="0.3">
      <c r="A23" s="208"/>
      <c r="B23" s="218"/>
      <c r="M23" s="209"/>
    </row>
    <row r="24" spans="1:13" ht="13.9" customHeight="1" x14ac:dyDescent="0.3">
      <c r="A24" s="208"/>
      <c r="B24" s="218"/>
      <c r="M24" s="209"/>
    </row>
    <row r="25" spans="1:13" ht="13.9" customHeight="1" x14ac:dyDescent="0.3">
      <c r="A25" s="208"/>
      <c r="B25" s="218"/>
      <c r="C25" s="462" t="s">
        <v>86</v>
      </c>
      <c r="D25" s="462"/>
      <c r="E25" s="462"/>
      <c r="F25" s="462"/>
      <c r="G25" s="462"/>
      <c r="H25" s="462"/>
      <c r="I25" s="462"/>
      <c r="J25" s="462"/>
      <c r="K25" s="462"/>
      <c r="L25" s="462"/>
      <c r="M25" s="209"/>
    </row>
    <row r="26" spans="1:13" ht="13.9" customHeight="1" x14ac:dyDescent="0.3">
      <c r="A26" s="208"/>
      <c r="B26" s="218"/>
      <c r="M26" s="209"/>
    </row>
    <row r="27" spans="1:13" ht="13.9" customHeight="1" x14ac:dyDescent="0.3">
      <c r="A27" s="208"/>
      <c r="B27" s="218"/>
      <c r="M27" s="209"/>
    </row>
    <row r="28" spans="1:13" ht="13.9" customHeight="1" x14ac:dyDescent="0.3">
      <c r="A28" s="208"/>
      <c r="B28" s="218"/>
      <c r="D28" s="212"/>
      <c r="E28" s="212"/>
      <c r="F28" s="212"/>
      <c r="G28" s="212"/>
      <c r="H28" s="212"/>
      <c r="I28" s="212"/>
      <c r="J28" s="212"/>
      <c r="K28" s="212"/>
      <c r="L28" s="212"/>
      <c r="M28" s="209"/>
    </row>
    <row r="29" spans="1:13" ht="13.9" customHeight="1" x14ac:dyDescent="0.3">
      <c r="A29" s="208"/>
      <c r="B29" s="218"/>
      <c r="D29" s="212"/>
      <c r="E29" s="212"/>
      <c r="F29" s="212"/>
      <c r="G29" s="212"/>
      <c r="H29" s="212"/>
      <c r="I29" s="212"/>
      <c r="J29" s="212"/>
      <c r="K29" s="212"/>
      <c r="L29" s="212"/>
      <c r="M29" s="209"/>
    </row>
    <row r="30" spans="1:13" ht="13.9" customHeight="1" x14ac:dyDescent="0.3">
      <c r="A30" s="208"/>
      <c r="B30" s="218"/>
      <c r="D30" s="212"/>
      <c r="E30" s="212"/>
      <c r="F30" s="212"/>
      <c r="G30" s="212"/>
      <c r="H30" s="212"/>
      <c r="I30" s="212"/>
      <c r="J30" s="212"/>
      <c r="K30" s="212"/>
      <c r="L30" s="212"/>
      <c r="M30" s="209"/>
    </row>
    <row r="31" spans="1:13" ht="13.9" customHeight="1" x14ac:dyDescent="0.3">
      <c r="A31" s="208"/>
      <c r="B31" s="218"/>
      <c r="D31" s="212"/>
      <c r="E31" s="212"/>
      <c r="F31" s="212"/>
      <c r="G31" s="212"/>
      <c r="H31" s="212"/>
      <c r="I31" s="212"/>
      <c r="J31" s="212"/>
      <c r="K31" s="212"/>
      <c r="L31" s="212"/>
      <c r="M31" s="209"/>
    </row>
    <row r="32" spans="1:13" ht="13.9" customHeight="1" x14ac:dyDescent="0.3">
      <c r="A32" s="208"/>
      <c r="B32" s="218"/>
      <c r="D32" s="212"/>
      <c r="E32" s="212"/>
      <c r="F32" s="212"/>
      <c r="G32" s="212"/>
      <c r="H32" s="212"/>
      <c r="I32" s="212"/>
      <c r="J32" s="212"/>
      <c r="K32" s="212"/>
      <c r="L32" s="212"/>
      <c r="M32" s="209"/>
    </row>
    <row r="33" spans="1:13" ht="13.9" customHeight="1" x14ac:dyDescent="0.3">
      <c r="A33" s="208"/>
      <c r="B33" s="218"/>
      <c r="D33" s="212"/>
      <c r="E33" s="212"/>
      <c r="F33" s="212"/>
      <c r="G33" s="212"/>
      <c r="H33" s="212"/>
      <c r="I33" s="212"/>
      <c r="J33" s="212"/>
      <c r="K33" s="212"/>
      <c r="L33" s="212"/>
      <c r="M33" s="209"/>
    </row>
    <row r="34" spans="1:13" ht="13.9" customHeight="1" x14ac:dyDescent="0.3">
      <c r="A34" s="208"/>
      <c r="B34" s="218"/>
      <c r="D34" s="212"/>
      <c r="E34" s="212"/>
      <c r="F34" s="212"/>
      <c r="G34" s="212"/>
      <c r="H34" s="212"/>
      <c r="I34" s="212"/>
      <c r="J34" s="212"/>
      <c r="K34" s="212"/>
      <c r="L34" s="212"/>
      <c r="M34" s="209"/>
    </row>
    <row r="35" spans="1:13" ht="13.9" customHeight="1" x14ac:dyDescent="0.3">
      <c r="A35" s="208"/>
      <c r="B35" s="218"/>
      <c r="D35" s="212"/>
      <c r="E35" s="212"/>
      <c r="F35" s="212"/>
      <c r="G35" s="212"/>
      <c r="H35" s="212"/>
      <c r="I35" s="212"/>
      <c r="J35" s="212"/>
      <c r="K35" s="212"/>
      <c r="L35" s="212"/>
      <c r="M35" s="209"/>
    </row>
    <row r="36" spans="1:13" ht="13.9" customHeight="1" x14ac:dyDescent="0.3">
      <c r="A36" s="208"/>
      <c r="B36" s="218"/>
      <c r="D36" s="212"/>
      <c r="E36" s="212"/>
      <c r="F36" s="212"/>
      <c r="G36" s="212"/>
      <c r="H36" s="212"/>
      <c r="I36" s="212"/>
      <c r="J36" s="212"/>
      <c r="K36" s="212"/>
      <c r="L36" s="212"/>
      <c r="M36" s="209"/>
    </row>
    <row r="37" spans="1:13" ht="13.9" customHeight="1" x14ac:dyDescent="0.3">
      <c r="A37" s="208"/>
      <c r="B37" s="218"/>
      <c r="M37" s="209"/>
    </row>
    <row r="38" spans="1:13" ht="13.9" customHeight="1" x14ac:dyDescent="0.3">
      <c r="A38" s="208"/>
      <c r="B38" s="218"/>
      <c r="C38" s="463" t="s">
        <v>87</v>
      </c>
      <c r="D38" s="463"/>
      <c r="E38" s="463"/>
      <c r="F38" s="463"/>
      <c r="G38" s="463"/>
      <c r="H38" s="463"/>
      <c r="I38" s="463"/>
      <c r="J38" s="463"/>
      <c r="K38" s="463"/>
      <c r="L38" s="463"/>
      <c r="M38" s="209"/>
    </row>
    <row r="39" spans="1:13" ht="13.9" customHeight="1" x14ac:dyDescent="0.3">
      <c r="A39" s="208"/>
      <c r="B39" s="218"/>
      <c r="M39" s="209"/>
    </row>
    <row r="40" spans="1:13" ht="13.9" customHeight="1" x14ac:dyDescent="0.3">
      <c r="A40" s="208"/>
      <c r="B40" s="218"/>
      <c r="D40" s="212"/>
      <c r="E40" s="212"/>
      <c r="F40" s="212"/>
      <c r="G40" s="212"/>
      <c r="H40" s="212"/>
      <c r="I40" s="212"/>
      <c r="J40" s="212"/>
      <c r="K40" s="212"/>
      <c r="M40" s="209"/>
    </row>
    <row r="41" spans="1:13" ht="13.9" customHeight="1" x14ac:dyDescent="0.3">
      <c r="A41" s="208"/>
      <c r="B41" s="218"/>
      <c r="C41" s="212"/>
      <c r="D41" s="212"/>
      <c r="E41" s="212"/>
      <c r="F41" s="212"/>
      <c r="G41" s="212"/>
      <c r="H41" s="212"/>
      <c r="I41" s="212"/>
      <c r="J41" s="212"/>
      <c r="K41" s="212"/>
      <c r="L41" s="212"/>
      <c r="M41" s="209"/>
    </row>
    <row r="42" spans="1:13" ht="13.9" customHeight="1" x14ac:dyDescent="0.3">
      <c r="A42" s="208"/>
      <c r="B42" s="218"/>
      <c r="C42" s="464" t="s">
        <v>88</v>
      </c>
      <c r="D42" s="464"/>
      <c r="E42" s="464"/>
      <c r="F42" s="464"/>
      <c r="G42" s="464"/>
      <c r="H42" s="464"/>
      <c r="I42" s="464"/>
      <c r="J42" s="464"/>
      <c r="K42" s="464"/>
      <c r="L42" s="464"/>
      <c r="M42" s="209"/>
    </row>
    <row r="43" spans="1:13" ht="13.9" customHeight="1" x14ac:dyDescent="0.3">
      <c r="A43" s="208"/>
      <c r="B43" s="218"/>
      <c r="C43" s="377" t="s">
        <v>89</v>
      </c>
      <c r="D43" s="214"/>
      <c r="E43" s="214"/>
      <c r="F43" s="214"/>
      <c r="G43" s="214"/>
      <c r="H43" s="214"/>
      <c r="I43" s="214"/>
      <c r="J43" s="214"/>
      <c r="K43" s="214"/>
      <c r="M43" s="209"/>
    </row>
    <row r="44" spans="1:13" ht="13.9" customHeight="1" x14ac:dyDescent="0.3">
      <c r="A44" s="208"/>
      <c r="B44" s="218"/>
      <c r="C44" s="377" t="s">
        <v>90</v>
      </c>
      <c r="D44" s="212"/>
      <c r="E44" s="212"/>
      <c r="F44" s="212"/>
      <c r="G44" s="212"/>
      <c r="H44" s="212"/>
      <c r="I44" s="212"/>
      <c r="J44" s="212"/>
      <c r="K44" s="212"/>
      <c r="M44" s="209"/>
    </row>
    <row r="45" spans="1:13" ht="13.9" customHeight="1" x14ac:dyDescent="0.3">
      <c r="A45" s="208"/>
      <c r="B45" s="218"/>
      <c r="C45" s="213"/>
      <c r="D45" s="214"/>
      <c r="E45" s="212"/>
      <c r="F45" s="212"/>
      <c r="G45" s="212"/>
      <c r="H45" s="212"/>
      <c r="I45" s="212"/>
      <c r="J45" s="212"/>
      <c r="K45" s="212"/>
      <c r="L45" s="212"/>
      <c r="M45" s="209"/>
    </row>
    <row r="46" spans="1:13" ht="13.9" customHeight="1" x14ac:dyDescent="0.3">
      <c r="A46" s="208"/>
      <c r="B46" s="218"/>
      <c r="C46" s="462" t="s">
        <v>91</v>
      </c>
      <c r="D46" s="462"/>
      <c r="E46" s="462"/>
      <c r="F46" s="462"/>
      <c r="G46" s="462"/>
      <c r="H46" s="462"/>
      <c r="I46" s="462"/>
      <c r="J46" s="462"/>
      <c r="K46" s="462"/>
      <c r="L46" s="462"/>
      <c r="M46" s="209"/>
    </row>
    <row r="47" spans="1:13" ht="13.9" customHeight="1" x14ac:dyDescent="0.3">
      <c r="A47" s="208"/>
      <c r="B47" s="218"/>
      <c r="C47" s="376" t="s">
        <v>92</v>
      </c>
      <c r="D47" s="212"/>
      <c r="E47" s="212"/>
      <c r="F47" s="212"/>
      <c r="G47" s="212"/>
      <c r="H47" s="212"/>
      <c r="I47" s="212"/>
      <c r="J47" s="212"/>
      <c r="K47" s="212"/>
      <c r="M47" s="209"/>
    </row>
    <row r="48" spans="1:13" ht="13.9" customHeight="1" x14ac:dyDescent="0.3">
      <c r="A48" s="208"/>
      <c r="B48" s="218"/>
      <c r="M48" s="209"/>
    </row>
    <row r="49" spans="1:13" ht="13.9" customHeight="1" x14ac:dyDescent="0.3">
      <c r="A49" s="208"/>
      <c r="B49" s="218"/>
      <c r="C49" s="213" t="s">
        <v>93</v>
      </c>
      <c r="M49" s="209"/>
    </row>
    <row r="50" spans="1:13" ht="13.9" customHeight="1" x14ac:dyDescent="0.3">
      <c r="A50" s="208"/>
      <c r="B50" s="218"/>
      <c r="M50" s="209"/>
    </row>
    <row r="51" spans="1:13" ht="13.9" customHeight="1" x14ac:dyDescent="0.3">
      <c r="A51" s="208"/>
      <c r="B51" s="218"/>
      <c r="M51" s="209"/>
    </row>
    <row r="52" spans="1:13" ht="13.9" customHeight="1" x14ac:dyDescent="0.3">
      <c r="A52" s="208"/>
      <c r="B52" s="218"/>
      <c r="M52" s="209"/>
    </row>
    <row r="53" spans="1:13" ht="13.9" customHeight="1" x14ac:dyDescent="0.3">
      <c r="A53" s="208"/>
      <c r="B53" s="218"/>
      <c r="M53" s="209"/>
    </row>
    <row r="54" spans="1:13" ht="13.9" customHeight="1" x14ac:dyDescent="0.3">
      <c r="A54" s="208"/>
      <c r="B54" s="218"/>
      <c r="M54" s="209"/>
    </row>
    <row r="55" spans="1:13" ht="13.9" customHeight="1" x14ac:dyDescent="0.3">
      <c r="A55" s="208"/>
      <c r="B55" s="218"/>
      <c r="M55" s="209"/>
    </row>
    <row r="56" spans="1:13" ht="13.9" customHeight="1" x14ac:dyDescent="0.3">
      <c r="A56" s="208"/>
      <c r="B56" s="218"/>
      <c r="M56" s="209"/>
    </row>
    <row r="57" spans="1:13" ht="13.9" customHeight="1" x14ac:dyDescent="0.3">
      <c r="A57" s="208"/>
      <c r="B57" s="218"/>
      <c r="C57" s="213" t="s">
        <v>94</v>
      </c>
      <c r="D57" s="213"/>
      <c r="E57" s="213"/>
      <c r="M57" s="209"/>
    </row>
    <row r="58" spans="1:13" ht="13.9" customHeight="1" x14ac:dyDescent="0.3">
      <c r="A58" s="208"/>
      <c r="B58" s="218"/>
      <c r="C58" s="213"/>
      <c r="M58" s="209"/>
    </row>
    <row r="59" spans="1:13" ht="13.9" customHeight="1" x14ac:dyDescent="0.3">
      <c r="A59" s="208"/>
      <c r="B59" s="218"/>
      <c r="C59" s="213"/>
      <c r="M59" s="209"/>
    </row>
    <row r="60" spans="1:13" ht="13.9" customHeight="1" x14ac:dyDescent="0.3">
      <c r="A60" s="208"/>
      <c r="B60" s="218"/>
      <c r="C60" s="213"/>
      <c r="M60" s="209"/>
    </row>
    <row r="61" spans="1:13" ht="13.9" customHeight="1" x14ac:dyDescent="0.3">
      <c r="A61" s="208"/>
      <c r="B61" s="218"/>
      <c r="C61" s="213"/>
      <c r="M61" s="209"/>
    </row>
    <row r="62" spans="1:13" ht="13.9" customHeight="1" x14ac:dyDescent="0.3">
      <c r="A62" s="208"/>
      <c r="B62" s="218"/>
      <c r="C62" s="213"/>
      <c r="M62" s="209"/>
    </row>
    <row r="63" spans="1:13" ht="13.9" customHeight="1" x14ac:dyDescent="0.3">
      <c r="A63" s="208"/>
      <c r="B63" s="218"/>
      <c r="C63" s="213"/>
      <c r="M63" s="209"/>
    </row>
    <row r="64" spans="1:13" ht="13.9" customHeight="1" x14ac:dyDescent="0.3">
      <c r="A64" s="208"/>
      <c r="B64" s="218"/>
      <c r="C64" s="213"/>
      <c r="M64" s="209"/>
    </row>
    <row r="65" spans="1:13" ht="13.9" customHeight="1" x14ac:dyDescent="0.3">
      <c r="A65" s="208"/>
      <c r="B65" s="218"/>
      <c r="C65" s="213"/>
      <c r="M65" s="209"/>
    </row>
    <row r="66" spans="1:13" ht="13.9" customHeight="1" x14ac:dyDescent="0.3">
      <c r="A66" s="208"/>
      <c r="B66" s="218"/>
      <c r="C66" s="213"/>
      <c r="M66" s="209"/>
    </row>
    <row r="67" spans="1:13" ht="13.9" customHeight="1" x14ac:dyDescent="0.3">
      <c r="A67" s="208"/>
      <c r="B67" s="218"/>
      <c r="C67" s="213"/>
      <c r="M67" s="209"/>
    </row>
    <row r="68" spans="1:13" ht="13.9" customHeight="1" x14ac:dyDescent="0.3">
      <c r="A68" s="208"/>
      <c r="B68" s="218"/>
      <c r="C68" s="213"/>
      <c r="M68" s="209"/>
    </row>
    <row r="69" spans="1:13" ht="13.9" customHeight="1" x14ac:dyDescent="0.3">
      <c r="A69" s="208"/>
      <c r="B69" s="218"/>
      <c r="C69" s="213"/>
      <c r="M69" s="209"/>
    </row>
    <row r="70" spans="1:13" ht="13.9" customHeight="1" x14ac:dyDescent="0.3">
      <c r="A70" s="208"/>
      <c r="B70" s="218"/>
      <c r="C70" s="213" t="s">
        <v>95</v>
      </c>
      <c r="D70" s="213"/>
      <c r="E70" s="213"/>
      <c r="F70" s="213"/>
      <c r="G70" s="213"/>
      <c r="M70" s="209"/>
    </row>
    <row r="71" spans="1:13" ht="13.9" customHeight="1" x14ac:dyDescent="0.3">
      <c r="A71" s="208"/>
      <c r="B71" s="218"/>
      <c r="C71" s="376" t="s">
        <v>96</v>
      </c>
      <c r="D71" s="376"/>
      <c r="E71" s="376"/>
      <c r="F71" s="376"/>
      <c r="G71" s="376"/>
      <c r="H71" s="376"/>
      <c r="I71" s="376"/>
      <c r="J71" s="376"/>
      <c r="K71" s="376"/>
      <c r="M71" s="209"/>
    </row>
    <row r="72" spans="1:13" ht="13.9" customHeight="1" x14ac:dyDescent="0.3">
      <c r="A72" s="208"/>
      <c r="B72" s="218"/>
      <c r="C72" s="213"/>
      <c r="M72" s="209"/>
    </row>
    <row r="73" spans="1:13" ht="13.9" customHeight="1" x14ac:dyDescent="0.3">
      <c r="A73" s="208"/>
      <c r="B73" s="218"/>
      <c r="C73" s="462" t="s">
        <v>97</v>
      </c>
      <c r="D73" s="462"/>
      <c r="E73" s="462"/>
      <c r="F73" s="462"/>
      <c r="G73" s="462"/>
      <c r="H73" s="462"/>
      <c r="I73" s="462"/>
      <c r="J73" s="462"/>
      <c r="K73" s="462"/>
      <c r="L73" s="462"/>
      <c r="M73" s="209"/>
    </row>
    <row r="74" spans="1:13" ht="13.9" customHeight="1" x14ac:dyDescent="0.3">
      <c r="A74" s="208"/>
      <c r="B74" s="218"/>
      <c r="C74" s="462"/>
      <c r="D74" s="462"/>
      <c r="E74" s="462"/>
      <c r="F74" s="462"/>
      <c r="G74" s="462"/>
      <c r="H74" s="462"/>
      <c r="I74" s="462"/>
      <c r="J74" s="462"/>
      <c r="K74" s="462"/>
      <c r="L74" s="462"/>
      <c r="M74" s="209"/>
    </row>
    <row r="75" spans="1:13" ht="13.9" customHeight="1" x14ac:dyDescent="0.3">
      <c r="A75" s="208"/>
      <c r="B75" s="218"/>
      <c r="C75" s="213"/>
      <c r="M75" s="209"/>
    </row>
    <row r="76" spans="1:13" ht="13.9" customHeight="1" x14ac:dyDescent="0.3">
      <c r="A76" s="208"/>
      <c r="B76" s="218"/>
      <c r="C76" s="213"/>
      <c r="M76" s="209"/>
    </row>
    <row r="77" spans="1:13" ht="13.9" customHeight="1" x14ac:dyDescent="0.3">
      <c r="A77" s="208"/>
      <c r="B77" s="218"/>
      <c r="M77" s="209"/>
    </row>
    <row r="78" spans="1:13" ht="13.9" customHeight="1" x14ac:dyDescent="0.3">
      <c r="A78" s="208"/>
      <c r="B78" s="218"/>
      <c r="M78" s="209"/>
    </row>
    <row r="79" spans="1:13" ht="13.9" customHeight="1" x14ac:dyDescent="0.3">
      <c r="A79" s="208"/>
      <c r="B79" s="218"/>
      <c r="M79" s="209"/>
    </row>
    <row r="80" spans="1:13" ht="13.9" customHeight="1" x14ac:dyDescent="0.3">
      <c r="A80" s="208"/>
      <c r="B80" s="218"/>
      <c r="M80" s="209"/>
    </row>
    <row r="81" spans="1:13" ht="13.9" customHeight="1" x14ac:dyDescent="0.3">
      <c r="A81" s="208"/>
      <c r="B81" s="218"/>
      <c r="M81" s="209"/>
    </row>
    <row r="82" spans="1:13" ht="13.9" customHeight="1" x14ac:dyDescent="0.3">
      <c r="A82" s="208"/>
      <c r="B82" s="218"/>
      <c r="M82" s="209"/>
    </row>
    <row r="83" spans="1:13" ht="13.9" customHeight="1" x14ac:dyDescent="0.3">
      <c r="A83" s="208"/>
      <c r="B83" s="218"/>
      <c r="M83" s="209"/>
    </row>
    <row r="84" spans="1:13" ht="13.9" customHeight="1" x14ac:dyDescent="0.3">
      <c r="A84" s="208"/>
      <c r="B84" s="218"/>
      <c r="C84" s="213"/>
      <c r="M84" s="209"/>
    </row>
    <row r="85" spans="1:13" ht="13.9" customHeight="1" x14ac:dyDescent="0.3">
      <c r="A85" s="208"/>
      <c r="B85" s="218"/>
      <c r="D85" s="379"/>
      <c r="E85" s="379"/>
      <c r="F85" s="379"/>
      <c r="G85" s="379"/>
      <c r="H85" s="379"/>
      <c r="I85" s="379"/>
      <c r="J85" s="379"/>
      <c r="K85" s="379"/>
      <c r="L85" s="379"/>
      <c r="M85" s="209"/>
    </row>
    <row r="86" spans="1:13" ht="13.9" customHeight="1" x14ac:dyDescent="0.3">
      <c r="A86" s="208"/>
      <c r="B86" s="218"/>
      <c r="C86" s="378" t="s">
        <v>98</v>
      </c>
      <c r="D86" s="379"/>
      <c r="E86" s="379"/>
      <c r="F86" s="379"/>
      <c r="G86" s="379"/>
      <c r="H86" s="379"/>
      <c r="I86" s="379"/>
      <c r="J86" s="379"/>
      <c r="K86" s="379"/>
      <c r="L86" s="379"/>
      <c r="M86" s="209"/>
    </row>
    <row r="87" spans="1:13" ht="13.9" customHeight="1" x14ac:dyDescent="0.3">
      <c r="A87" s="208"/>
      <c r="B87" s="218"/>
      <c r="C87" s="378"/>
      <c r="D87" s="379"/>
      <c r="E87" s="379"/>
      <c r="F87" s="379"/>
      <c r="G87" s="379"/>
      <c r="H87" s="379"/>
      <c r="I87" s="379"/>
      <c r="J87" s="379"/>
      <c r="K87" s="379"/>
      <c r="L87" s="379"/>
      <c r="M87" s="209"/>
    </row>
    <row r="88" spans="1:13" ht="13.9" customHeight="1" x14ac:dyDescent="0.3">
      <c r="A88" s="208"/>
      <c r="B88" s="218"/>
      <c r="C88" s="378"/>
      <c r="D88" s="379"/>
      <c r="E88" s="379"/>
      <c r="F88" s="379"/>
      <c r="G88" s="379"/>
      <c r="H88" s="379"/>
      <c r="I88" s="379"/>
      <c r="J88" s="379"/>
      <c r="K88" s="379"/>
      <c r="L88" s="379"/>
      <c r="M88" s="209"/>
    </row>
    <row r="89" spans="1:13" ht="13.9" customHeight="1" x14ac:dyDescent="0.3">
      <c r="A89" s="208"/>
      <c r="B89" s="218"/>
      <c r="C89" s="378"/>
      <c r="D89" s="379"/>
      <c r="E89" s="379"/>
      <c r="F89" s="379"/>
      <c r="G89" s="379"/>
      <c r="H89" s="379"/>
      <c r="I89" s="379"/>
      <c r="J89" s="379"/>
      <c r="K89" s="379"/>
      <c r="L89" s="379"/>
      <c r="M89" s="209"/>
    </row>
    <row r="90" spans="1:13" ht="13.9" customHeight="1" x14ac:dyDescent="0.3">
      <c r="A90" s="208"/>
      <c r="B90" s="218"/>
      <c r="M90" s="209"/>
    </row>
    <row r="91" spans="1:13" x14ac:dyDescent="0.3">
      <c r="A91" s="208"/>
      <c r="B91" s="208"/>
      <c r="C91" s="209"/>
      <c r="D91" s="209"/>
      <c r="E91" s="209"/>
      <c r="F91" s="209"/>
      <c r="G91" s="209"/>
      <c r="H91" s="209"/>
      <c r="I91" s="209"/>
      <c r="J91" s="209"/>
      <c r="K91" s="209"/>
      <c r="L91" s="209"/>
      <c r="M91" s="209"/>
    </row>
  </sheetData>
  <mergeCells count="9">
    <mergeCell ref="C1:L1"/>
    <mergeCell ref="C4:L4"/>
    <mergeCell ref="C7:L7"/>
    <mergeCell ref="C46:L46"/>
    <mergeCell ref="C73:L74"/>
    <mergeCell ref="C3:L3"/>
    <mergeCell ref="C38:L38"/>
    <mergeCell ref="C42:L42"/>
    <mergeCell ref="C25:L25"/>
  </mergeCells>
  <pageMargins left="0.70866141732283472" right="0.70866141732283472" top="0.94488188976377963" bottom="0.74803149606299213" header="0.31496062992125984" footer="0.31496062992125984"/>
  <pageSetup paperSize="9" scale="57" orientation="portrait" r:id="rId1"/>
  <headerFooter>
    <oddHeader xml:space="preserve">&amp;L&amp;G&amp;C&amp;"Lato,Normal"Matrices de pilotage des risques&amp;R&amp;"Lato,Normal"Enregistrement 
Réf. :ENR-QUA-10 
Indice :3.0
Confidentialité : Restreint   </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7425-80B7-4FCE-9A36-5FF7FC20E315}">
  <sheetPr>
    <tabColor theme="7" tint="0.79998168889431442"/>
    <pageSetUpPr fitToPage="1"/>
  </sheetPr>
  <dimension ref="B2:H48"/>
  <sheetViews>
    <sheetView showGridLines="0" topLeftCell="A10" zoomScale="80" zoomScaleNormal="80" zoomScaleSheetLayoutView="40" zoomScalePageLayoutView="30" workbookViewId="0">
      <selection activeCell="F24" sqref="F24"/>
    </sheetView>
  </sheetViews>
  <sheetFormatPr defaultColWidth="11.42578125" defaultRowHeight="16.5" x14ac:dyDescent="0.35"/>
  <cols>
    <col min="1" max="1" width="1.42578125" style="157" customWidth="1"/>
    <col min="2" max="2" width="13.85546875" style="157" customWidth="1"/>
    <col min="3" max="3" width="49.5703125" style="157" customWidth="1"/>
    <col min="4" max="4" width="48.28515625" style="157" bestFit="1" customWidth="1"/>
    <col min="5" max="5" width="63.42578125" style="157" customWidth="1"/>
    <col min="6" max="6" width="49" style="157" bestFit="1" customWidth="1"/>
    <col min="7" max="7" width="56.7109375" style="157" bestFit="1" customWidth="1"/>
    <col min="8" max="8" width="46.42578125" style="157" customWidth="1"/>
    <col min="9" max="16384" width="11.42578125" style="157"/>
  </cols>
  <sheetData>
    <row r="2" spans="2:8" ht="24" x14ac:dyDescent="0.45">
      <c r="B2" s="203" t="s">
        <v>10</v>
      </c>
    </row>
    <row r="3" spans="2:8" ht="22.15" customHeight="1" x14ac:dyDescent="0.35"/>
    <row r="4" spans="2:8" ht="22.15" customHeight="1" x14ac:dyDescent="0.35">
      <c r="B4" s="380" t="s">
        <v>99</v>
      </c>
    </row>
    <row r="5" spans="2:8" ht="22.15" customHeight="1" x14ac:dyDescent="0.35"/>
    <row r="6" spans="2:8" ht="22.15" customHeight="1" x14ac:dyDescent="0.35"/>
    <row r="7" spans="2:8" ht="22.15" customHeight="1" x14ac:dyDescent="0.35"/>
    <row r="8" spans="2:8" ht="22.15" customHeight="1" x14ac:dyDescent="0.35"/>
    <row r="9" spans="2:8" ht="22.15" customHeight="1" x14ac:dyDescent="0.35"/>
    <row r="10" spans="2:8" ht="22.15" customHeight="1" x14ac:dyDescent="0.35"/>
    <row r="11" spans="2:8" ht="22.15" customHeight="1" x14ac:dyDescent="0.35"/>
    <row r="12" spans="2:8" ht="22.15" customHeight="1" x14ac:dyDescent="0.35"/>
    <row r="13" spans="2:8" ht="22.15" customHeight="1" x14ac:dyDescent="0.35">
      <c r="B13" s="381" t="s">
        <v>100</v>
      </c>
      <c r="C13" s="160"/>
      <c r="D13" s="160"/>
      <c r="E13" s="160"/>
      <c r="F13" s="160"/>
      <c r="G13" s="160"/>
    </row>
    <row r="14" spans="2:8" ht="22.15" customHeight="1" x14ac:dyDescent="0.35">
      <c r="B14" s="206" t="s">
        <v>101</v>
      </c>
      <c r="D14" s="160"/>
      <c r="E14" s="160"/>
      <c r="F14" s="160"/>
      <c r="G14" s="160"/>
    </row>
    <row r="15" spans="2:8" ht="22.15" customHeight="1" x14ac:dyDescent="0.35">
      <c r="B15" s="160"/>
      <c r="C15" s="160"/>
      <c r="D15" s="160"/>
      <c r="E15" s="160"/>
      <c r="F15" s="160"/>
      <c r="G15" s="160"/>
    </row>
    <row r="16" spans="2:8" ht="22.15" customHeight="1" x14ac:dyDescent="0.35">
      <c r="B16" s="160"/>
      <c r="C16" s="161" t="s">
        <v>102</v>
      </c>
      <c r="D16" s="161" t="s">
        <v>103</v>
      </c>
      <c r="E16" s="161" t="s">
        <v>104</v>
      </c>
      <c r="F16" s="161" t="s">
        <v>105</v>
      </c>
      <c r="G16" s="161" t="s">
        <v>106</v>
      </c>
      <c r="H16" s="161" t="s">
        <v>107</v>
      </c>
    </row>
    <row r="17" spans="2:8" s="159" customFormat="1" ht="37.15" customHeight="1" x14ac:dyDescent="0.25">
      <c r="B17" s="204"/>
      <c r="C17" s="205" t="s">
        <v>108</v>
      </c>
      <c r="D17" s="205" t="s">
        <v>109</v>
      </c>
      <c r="E17" s="205" t="s">
        <v>110</v>
      </c>
      <c r="F17" s="205" t="s">
        <v>111</v>
      </c>
      <c r="G17" s="205" t="s">
        <v>112</v>
      </c>
      <c r="H17" s="205" t="s">
        <v>113</v>
      </c>
    </row>
    <row r="18" spans="2:8" s="159" customFormat="1" ht="22.15" customHeight="1" x14ac:dyDescent="0.25">
      <c r="B18" s="204"/>
      <c r="C18" s="205" t="s">
        <v>114</v>
      </c>
      <c r="D18" s="205" t="s">
        <v>115</v>
      </c>
      <c r="E18" s="205" t="s">
        <v>116</v>
      </c>
      <c r="F18" s="450" t="s">
        <v>117</v>
      </c>
      <c r="G18" s="205" t="s">
        <v>118</v>
      </c>
      <c r="H18" s="450" t="s">
        <v>119</v>
      </c>
    </row>
    <row r="19" spans="2:8" s="159" customFormat="1" ht="22.15" customHeight="1" x14ac:dyDescent="0.25">
      <c r="B19" s="204"/>
      <c r="C19" s="205" t="s">
        <v>120</v>
      </c>
      <c r="D19" s="205" t="s">
        <v>121</v>
      </c>
      <c r="E19" s="205" t="s">
        <v>122</v>
      </c>
      <c r="F19" s="205" t="s">
        <v>123</v>
      </c>
      <c r="G19" s="205" t="s">
        <v>124</v>
      </c>
      <c r="H19" s="205" t="s">
        <v>125</v>
      </c>
    </row>
    <row r="20" spans="2:8" s="159" customFormat="1" ht="22.15" customHeight="1" x14ac:dyDescent="0.25">
      <c r="B20" s="204"/>
      <c r="C20" s="205" t="s">
        <v>126</v>
      </c>
      <c r="D20" s="205" t="s">
        <v>127</v>
      </c>
      <c r="E20" s="205" t="s">
        <v>128</v>
      </c>
      <c r="F20" s="451" t="s">
        <v>129</v>
      </c>
      <c r="G20" s="205" t="s">
        <v>130</v>
      </c>
      <c r="H20" s="450" t="s">
        <v>131</v>
      </c>
    </row>
    <row r="21" spans="2:8" s="159" customFormat="1" ht="22.15" customHeight="1" x14ac:dyDescent="0.25">
      <c r="B21" s="204"/>
      <c r="C21" s="205" t="s">
        <v>132</v>
      </c>
      <c r="D21" s="205" t="s">
        <v>133</v>
      </c>
      <c r="E21" s="205" t="s">
        <v>134</v>
      </c>
      <c r="F21" s="450" t="s">
        <v>135</v>
      </c>
      <c r="G21" s="205" t="s">
        <v>136</v>
      </c>
      <c r="H21" s="450" t="s">
        <v>137</v>
      </c>
    </row>
    <row r="22" spans="2:8" s="159" customFormat="1" ht="36" customHeight="1" x14ac:dyDescent="0.25">
      <c r="B22" s="204"/>
      <c r="C22" s="205" t="s">
        <v>138</v>
      </c>
      <c r="D22" s="205" t="s">
        <v>139</v>
      </c>
      <c r="E22" s="205" t="s">
        <v>140</v>
      </c>
      <c r="F22" s="205" t="s">
        <v>141</v>
      </c>
      <c r="G22" s="205" t="s">
        <v>142</v>
      </c>
      <c r="H22" s="450"/>
    </row>
    <row r="23" spans="2:8" s="159" customFormat="1" ht="22.15" customHeight="1" x14ac:dyDescent="0.25">
      <c r="B23" s="204"/>
      <c r="C23" s="205" t="s">
        <v>143</v>
      </c>
      <c r="D23" s="205" t="s">
        <v>144</v>
      </c>
      <c r="E23" s="205" t="s">
        <v>145</v>
      </c>
      <c r="F23" s="205"/>
      <c r="G23" s="205" t="s">
        <v>146</v>
      </c>
      <c r="H23" s="450"/>
    </row>
    <row r="24" spans="2:8" s="159" customFormat="1" ht="22.15" customHeight="1" x14ac:dyDescent="0.25">
      <c r="B24" s="204"/>
      <c r="C24" s="205" t="s">
        <v>147</v>
      </c>
      <c r="D24" s="205" t="s">
        <v>148</v>
      </c>
      <c r="E24" s="205" t="s">
        <v>149</v>
      </c>
      <c r="F24" s="205"/>
      <c r="G24" s="205" t="s">
        <v>150</v>
      </c>
      <c r="H24" s="450"/>
    </row>
    <row r="25" spans="2:8" s="159" customFormat="1" ht="37.15" customHeight="1" x14ac:dyDescent="0.25">
      <c r="B25" s="204"/>
      <c r="C25" s="450" t="s">
        <v>151</v>
      </c>
      <c r="D25" s="205" t="s">
        <v>152</v>
      </c>
      <c r="E25" s="205" t="s">
        <v>153</v>
      </c>
      <c r="F25" s="205"/>
      <c r="G25" s="205" t="s">
        <v>154</v>
      </c>
      <c r="H25" s="450"/>
    </row>
    <row r="26" spans="2:8" s="159" customFormat="1" ht="22.15" customHeight="1" x14ac:dyDescent="0.25">
      <c r="B26" s="204"/>
      <c r="C26" s="450" t="s">
        <v>155</v>
      </c>
      <c r="D26" s="205" t="s">
        <v>156</v>
      </c>
      <c r="E26" s="205" t="s">
        <v>157</v>
      </c>
      <c r="F26" s="205"/>
      <c r="G26" s="450" t="s">
        <v>158</v>
      </c>
      <c r="H26" s="450"/>
    </row>
    <row r="27" spans="2:8" s="159" customFormat="1" ht="22.15" customHeight="1" x14ac:dyDescent="0.25">
      <c r="B27" s="204"/>
      <c r="C27" s="450" t="s">
        <v>132</v>
      </c>
      <c r="D27" s="205" t="s">
        <v>159</v>
      </c>
      <c r="E27" s="450"/>
      <c r="F27" s="205"/>
      <c r="G27" s="450" t="s">
        <v>160</v>
      </c>
      <c r="H27" s="450"/>
    </row>
    <row r="28" spans="2:8" s="159" customFormat="1" ht="22.15" customHeight="1" x14ac:dyDescent="0.25">
      <c r="B28" s="204"/>
      <c r="C28" s="450" t="s">
        <v>143</v>
      </c>
      <c r="D28" s="205" t="s">
        <v>161</v>
      </c>
      <c r="E28" s="205"/>
      <c r="F28" s="205"/>
      <c r="G28" s="450" t="s">
        <v>162</v>
      </c>
      <c r="H28" s="450"/>
    </row>
    <row r="29" spans="2:8" s="159" customFormat="1" ht="22.15" customHeight="1" x14ac:dyDescent="0.25">
      <c r="B29" s="204"/>
      <c r="C29" s="205" t="s">
        <v>163</v>
      </c>
      <c r="D29" s="205" t="s">
        <v>164</v>
      </c>
      <c r="E29" s="205"/>
      <c r="F29" s="205"/>
      <c r="G29" s="450"/>
      <c r="H29" s="450"/>
    </row>
    <row r="30" spans="2:8" s="159" customFormat="1" ht="22.15" customHeight="1" x14ac:dyDescent="0.25">
      <c r="B30" s="204"/>
      <c r="C30" s="205"/>
      <c r="D30" s="450" t="s">
        <v>165</v>
      </c>
      <c r="E30" s="205"/>
      <c r="F30" s="205"/>
      <c r="G30" s="450"/>
      <c r="H30" s="450"/>
    </row>
    <row r="31" spans="2:8" s="159" customFormat="1" ht="22.15" customHeight="1" x14ac:dyDescent="0.25">
      <c r="C31" s="450"/>
      <c r="D31" s="450" t="s">
        <v>166</v>
      </c>
      <c r="E31" s="450"/>
      <c r="F31" s="450"/>
      <c r="G31" s="450"/>
      <c r="H31" s="450"/>
    </row>
    <row r="32" spans="2:8" s="159" customFormat="1" ht="22.15" customHeight="1" x14ac:dyDescent="0.25">
      <c r="C32" s="450"/>
      <c r="D32" s="450" t="s">
        <v>167</v>
      </c>
      <c r="E32" s="450"/>
      <c r="F32" s="450"/>
      <c r="G32" s="450"/>
      <c r="H32" s="450"/>
    </row>
    <row r="33" spans="2:8" s="159" customFormat="1" ht="22.15" customHeight="1" x14ac:dyDescent="0.25">
      <c r="C33" s="450"/>
      <c r="D33" s="450" t="s">
        <v>168</v>
      </c>
      <c r="E33" s="450"/>
      <c r="F33" s="450"/>
      <c r="G33" s="450"/>
      <c r="H33" s="450"/>
    </row>
    <row r="34" spans="2:8" s="159" customFormat="1" ht="22.15" customHeight="1" x14ac:dyDescent="0.25">
      <c r="C34" s="450"/>
      <c r="D34" s="450" t="s">
        <v>169</v>
      </c>
      <c r="E34" s="450"/>
      <c r="F34" s="450"/>
      <c r="G34" s="450"/>
      <c r="H34" s="450"/>
    </row>
    <row r="35" spans="2:8" s="159" customFormat="1" ht="22.15" customHeight="1" x14ac:dyDescent="0.25">
      <c r="C35" s="450"/>
      <c r="D35" s="450" t="s">
        <v>170</v>
      </c>
      <c r="E35" s="450"/>
      <c r="F35" s="450"/>
      <c r="G35" s="450"/>
      <c r="H35" s="450"/>
    </row>
    <row r="36" spans="2:8" s="159" customFormat="1" ht="22.15" customHeight="1" x14ac:dyDescent="0.25">
      <c r="C36" s="450"/>
      <c r="D36" s="450" t="s">
        <v>127</v>
      </c>
      <c r="E36" s="450"/>
      <c r="F36" s="450"/>
      <c r="G36" s="450"/>
      <c r="H36" s="450"/>
    </row>
    <row r="37" spans="2:8" s="159" customFormat="1" ht="22.15" customHeight="1" x14ac:dyDescent="0.25">
      <c r="C37" s="450"/>
      <c r="D37" s="450" t="s">
        <v>152</v>
      </c>
      <c r="E37" s="450"/>
      <c r="F37" s="450"/>
      <c r="G37" s="450"/>
      <c r="H37" s="450"/>
    </row>
    <row r="38" spans="2:8" s="159" customFormat="1" ht="22.15" customHeight="1" x14ac:dyDescent="0.25">
      <c r="C38" s="450"/>
      <c r="D38" s="450" t="s">
        <v>156</v>
      </c>
      <c r="E38" s="450"/>
      <c r="F38" s="450"/>
      <c r="G38" s="450"/>
      <c r="H38" s="450"/>
    </row>
    <row r="39" spans="2:8" s="159" customFormat="1" ht="18.75" customHeight="1" x14ac:dyDescent="0.25">
      <c r="C39" s="450"/>
      <c r="D39" s="450"/>
      <c r="E39" s="450"/>
      <c r="F39" s="450"/>
      <c r="G39" s="450"/>
      <c r="H39" s="450"/>
    </row>
    <row r="40" spans="2:8" s="159" customFormat="1" x14ac:dyDescent="0.25"/>
    <row r="41" spans="2:8" ht="17.25" thickBot="1" x14ac:dyDescent="0.4"/>
    <row r="42" spans="2:8" x14ac:dyDescent="0.35">
      <c r="B42" s="167" t="s">
        <v>171</v>
      </c>
      <c r="F42" s="162"/>
    </row>
    <row r="43" spans="2:8" x14ac:dyDescent="0.35">
      <c r="B43" s="168" t="str">
        <f>C16</f>
        <v>Infrastructure</v>
      </c>
    </row>
    <row r="44" spans="2:8" x14ac:dyDescent="0.35">
      <c r="B44" s="168" t="str">
        <f>D16</f>
        <v>Commercial</v>
      </c>
    </row>
    <row r="45" spans="2:8" x14ac:dyDescent="0.35">
      <c r="B45" s="168" t="str">
        <f>E16</f>
        <v>Technique</v>
      </c>
    </row>
    <row r="46" spans="2:8" x14ac:dyDescent="0.35">
      <c r="B46" s="168" t="str">
        <f>F16</f>
        <v>Ressources Humaines</v>
      </c>
    </row>
    <row r="47" spans="2:8" x14ac:dyDescent="0.35">
      <c r="B47" s="168" t="str">
        <f>G16</f>
        <v>Qualité</v>
      </c>
    </row>
    <row r="48" spans="2:8" ht="17.25" thickBot="1" x14ac:dyDescent="0.4">
      <c r="B48" s="169" t="str">
        <f>H16</f>
        <v>Organisation</v>
      </c>
    </row>
  </sheetData>
  <dataValidations disablePrompts="1" xWindow="466" yWindow="817" count="2">
    <dataValidation type="list" allowBlank="1" showInputMessage="1" showErrorMessage="1" sqref="H35:H37" xr:uid="{4AB87BA8-0B90-4AD4-97D7-B208D914D008}">
      <formula1>"Mineur,Modéré,Critique"</formula1>
    </dataValidation>
    <dataValidation type="date" operator="greaterThan" allowBlank="1" showInputMessage="1" showErrorMessage="1" errorTitle="Date Invalide" error="La date doit être sous un format valide_x000a_JJ/MM/AA_x000a_JJ/MM/AAAA" sqref="D8:D34" xr:uid="{852AD0B7-9C1F-477B-B752-4693F4BCFF89}">
      <formula1>43466</formula1>
    </dataValidation>
  </dataValidations>
  <pageMargins left="0.70866141732283472" right="0.70866141732283472" top="0.94488188976377963" bottom="0.74803149606299213" header="0.31496062992125984" footer="0.31496062992125984"/>
  <pageSetup paperSize="9" scale="39" orientation="landscape" r:id="rId1"/>
  <headerFooter>
    <oddHeader xml:space="preserve">&amp;L&amp;G&amp;CMatrices de pilotage des risques&amp;REnregistrement 
Réf. :ENR-QUA-10 
Indice : 3.0
Confidentialité : Restreint   </oddHeader>
  </headerFooter>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6DB9-D954-476C-9A3F-9B725F29ACB3}">
  <sheetPr>
    <tabColor theme="7" tint="0.39997558519241921"/>
    <pageSetUpPr fitToPage="1"/>
  </sheetPr>
  <dimension ref="A1:AB43"/>
  <sheetViews>
    <sheetView showGridLines="0" tabSelected="1" topLeftCell="G14" zoomScale="85" zoomScaleNormal="85" zoomScaleSheetLayoutView="40" zoomScalePageLayoutView="30" workbookViewId="0">
      <selection activeCell="S28" sqref="S28"/>
    </sheetView>
  </sheetViews>
  <sheetFormatPr defaultColWidth="19" defaultRowHeight="15" outlineLevelCol="1" x14ac:dyDescent="0.25"/>
  <cols>
    <col min="1" max="1" width="13.7109375" style="155" customWidth="1"/>
    <col min="2" max="2" width="19.7109375" style="150" customWidth="1"/>
    <col min="3" max="3" width="17.7109375" style="150" bestFit="1" customWidth="1"/>
    <col min="4" max="4" width="15.140625" style="150" hidden="1" customWidth="1" outlineLevel="1"/>
    <col min="5" max="5" width="17.7109375" style="150" hidden="1" customWidth="1" outlineLevel="1"/>
    <col min="6" max="6" width="22.28515625" customWidth="1" collapsed="1"/>
    <col min="7" max="7" width="45.85546875" style="150" bestFit="1" customWidth="1"/>
    <col min="8" max="8" width="32.7109375" style="150" customWidth="1"/>
    <col min="9" max="9" width="18.42578125" style="150" customWidth="1"/>
    <col min="10" max="10" width="13.85546875" style="150" bestFit="1" customWidth="1"/>
    <col min="11" max="11" width="14.42578125" style="151" bestFit="1" customWidth="1"/>
    <col min="12" max="12" width="43.5703125" style="150" bestFit="1" customWidth="1"/>
    <col min="13" max="13" width="22.42578125" style="150" customWidth="1"/>
    <col min="14" max="14" width="13.7109375" style="150" customWidth="1"/>
    <col min="15" max="15" width="21.5703125" style="150" customWidth="1"/>
    <col min="16" max="16" width="16.5703125" style="151" bestFit="1" customWidth="1"/>
    <col min="17" max="17" width="17" style="150" bestFit="1" customWidth="1"/>
    <col min="18" max="18" width="28.140625" style="150" customWidth="1"/>
    <col min="19" max="19" width="19" style="150"/>
    <col min="20" max="20" width="13.85546875" style="150" bestFit="1" customWidth="1"/>
    <col min="21" max="21" width="6.28515625" style="150" bestFit="1" customWidth="1"/>
    <col min="22" max="22" width="13.85546875" style="150" bestFit="1" customWidth="1"/>
    <col min="23" max="23" width="6.28515625" style="150" bestFit="1" customWidth="1"/>
    <col min="24" max="24" width="3.28515625" style="150" bestFit="1" customWidth="1"/>
    <col min="25" max="25" width="9.28515625" style="150" bestFit="1" customWidth="1"/>
    <col min="26" max="26" width="14.140625" style="150" bestFit="1" customWidth="1"/>
    <col min="27" max="16384" width="19" style="150"/>
  </cols>
  <sheetData>
    <row r="1" spans="1:28" ht="17.45" customHeight="1" x14ac:dyDescent="0.25">
      <c r="A1" s="465"/>
      <c r="B1" s="465"/>
      <c r="C1" s="465"/>
      <c r="D1" s="465"/>
      <c r="E1" s="465"/>
      <c r="F1" s="465"/>
      <c r="G1" s="465"/>
      <c r="H1" s="465"/>
      <c r="I1" s="465"/>
      <c r="J1" s="465"/>
      <c r="K1" s="465"/>
      <c r="L1" s="465"/>
      <c r="M1" s="465"/>
      <c r="N1" s="465"/>
      <c r="O1" s="465"/>
      <c r="P1" s="465"/>
      <c r="Q1" s="465"/>
      <c r="R1" s="465"/>
    </row>
    <row r="2" spans="1:28" ht="23.25" x14ac:dyDescent="0.25">
      <c r="A2" s="171" t="s">
        <v>172</v>
      </c>
      <c r="B2" s="171"/>
      <c r="C2" s="171"/>
      <c r="D2" s="171"/>
      <c r="E2" s="171"/>
      <c r="F2" s="171"/>
      <c r="G2" s="171"/>
      <c r="H2" s="171"/>
      <c r="I2" s="171"/>
      <c r="J2" s="171"/>
      <c r="K2" s="171"/>
      <c r="L2" s="170"/>
      <c r="M2" s="170"/>
      <c r="N2" s="170"/>
      <c r="O2" s="170"/>
      <c r="P2" s="170"/>
      <c r="Q2" s="170"/>
      <c r="R2" s="170"/>
      <c r="S2" s="170"/>
    </row>
    <row r="3" spans="1:28" ht="10.9" customHeight="1" x14ac:dyDescent="0.25">
      <c r="A3" s="171"/>
      <c r="B3" s="171"/>
      <c r="C3" s="171"/>
      <c r="D3" s="171"/>
      <c r="E3" s="171"/>
      <c r="F3" s="171"/>
      <c r="G3" s="171"/>
      <c r="H3" s="171"/>
      <c r="I3" s="171"/>
      <c r="J3" s="171"/>
      <c r="K3" s="171"/>
      <c r="L3" s="170"/>
      <c r="M3" s="170"/>
      <c r="N3" s="170"/>
      <c r="O3" s="170"/>
      <c r="P3" s="170"/>
      <c r="Q3" s="170"/>
      <c r="R3" s="170"/>
      <c r="S3" s="170"/>
    </row>
    <row r="4" spans="1:28" ht="39.75" customHeight="1" x14ac:dyDescent="0.25">
      <c r="A4" s="468" t="s">
        <v>173</v>
      </c>
      <c r="B4" s="469"/>
      <c r="C4" s="409" t="s">
        <v>174</v>
      </c>
      <c r="D4" s="171"/>
      <c r="E4" s="171"/>
      <c r="F4" s="171"/>
      <c r="G4" s="171"/>
      <c r="H4" s="171"/>
      <c r="I4" s="171"/>
      <c r="J4" s="171"/>
      <c r="K4" s="171"/>
      <c r="N4" s="151"/>
      <c r="O4" s="151"/>
      <c r="P4" s="150"/>
    </row>
    <row r="5" spans="1:28" ht="23.25" customHeight="1" x14ac:dyDescent="0.25">
      <c r="A5" s="475" t="s">
        <v>175</v>
      </c>
      <c r="B5" s="476"/>
      <c r="C5" s="382"/>
      <c r="D5" s="171"/>
      <c r="E5" s="171"/>
      <c r="F5" s="171"/>
      <c r="G5" s="151"/>
      <c r="H5" s="151"/>
      <c r="I5" s="151"/>
      <c r="J5" s="151"/>
      <c r="K5" s="150"/>
      <c r="N5" s="151"/>
      <c r="O5" s="151"/>
      <c r="P5" s="150"/>
    </row>
    <row r="6" spans="1:28" ht="15.75" thickBot="1" x14ac:dyDescent="0.3">
      <c r="A6" s="150"/>
      <c r="F6" s="150"/>
      <c r="K6" s="150"/>
      <c r="P6" s="150"/>
    </row>
    <row r="7" spans="1:28" s="172" customFormat="1" ht="23.45" customHeight="1" thickBot="1" x14ac:dyDescent="0.4">
      <c r="A7" s="470" t="s">
        <v>176</v>
      </c>
      <c r="B7" s="471"/>
      <c r="C7" s="471"/>
      <c r="D7" s="471"/>
      <c r="E7" s="472"/>
      <c r="F7" s="466" t="s">
        <v>177</v>
      </c>
      <c r="G7" s="466"/>
      <c r="H7" s="466"/>
      <c r="I7" s="466"/>
      <c r="J7" s="466"/>
      <c r="K7" s="466"/>
      <c r="L7" s="467" t="s">
        <v>178</v>
      </c>
      <c r="M7" s="467"/>
      <c r="N7" s="467"/>
      <c r="O7" s="467"/>
      <c r="P7" s="467"/>
      <c r="Q7" s="467"/>
      <c r="R7" s="467"/>
      <c r="T7" s="477" t="s">
        <v>179</v>
      </c>
      <c r="U7" s="478"/>
      <c r="V7" s="477" t="s">
        <v>21</v>
      </c>
      <c r="W7" s="478"/>
      <c r="X7" s="479" t="s">
        <v>180</v>
      </c>
      <c r="Y7" s="480"/>
      <c r="Z7" s="374" t="s">
        <v>181</v>
      </c>
    </row>
    <row r="8" spans="1:28" s="172" customFormat="1" ht="16.899999999999999" customHeight="1" x14ac:dyDescent="0.35">
      <c r="A8" s="407"/>
      <c r="B8" s="407"/>
      <c r="C8" s="407"/>
      <c r="D8" s="473" t="s">
        <v>182</v>
      </c>
      <c r="E8" s="474"/>
      <c r="F8" s="384"/>
      <c r="G8" s="384"/>
      <c r="H8" s="384"/>
      <c r="I8" s="384"/>
      <c r="J8" s="384"/>
      <c r="K8" s="384"/>
      <c r="L8" s="385"/>
      <c r="M8" s="385"/>
      <c r="N8" s="385"/>
      <c r="O8" s="385"/>
      <c r="P8" s="385"/>
      <c r="Q8" s="385"/>
      <c r="R8" s="385"/>
      <c r="T8" s="404"/>
      <c r="U8" s="405"/>
      <c r="V8" s="404"/>
      <c r="W8" s="405"/>
      <c r="X8" s="404"/>
      <c r="Y8" s="405"/>
      <c r="Z8" s="406"/>
    </row>
    <row r="9" spans="1:28" s="174" customFormat="1" ht="45" customHeight="1" thickBot="1" x14ac:dyDescent="0.4">
      <c r="A9" s="179" t="s">
        <v>183</v>
      </c>
      <c r="B9" s="179" t="s">
        <v>184</v>
      </c>
      <c r="C9" s="179" t="s">
        <v>185</v>
      </c>
      <c r="D9" s="408" t="s">
        <v>186</v>
      </c>
      <c r="E9" s="408" t="s">
        <v>187</v>
      </c>
      <c r="F9" s="179" t="s">
        <v>188</v>
      </c>
      <c r="G9" s="179" t="s">
        <v>189</v>
      </c>
      <c r="H9" s="179" t="s">
        <v>190</v>
      </c>
      <c r="I9" s="449" t="s">
        <v>191</v>
      </c>
      <c r="J9" s="449" t="s">
        <v>21</v>
      </c>
      <c r="K9" s="448" t="s">
        <v>180</v>
      </c>
      <c r="L9" s="173" t="s">
        <v>192</v>
      </c>
      <c r="M9" s="173" t="s">
        <v>193</v>
      </c>
      <c r="N9" s="173" t="s">
        <v>194</v>
      </c>
      <c r="O9" s="173" t="s">
        <v>195</v>
      </c>
      <c r="P9" s="173" t="s">
        <v>196</v>
      </c>
      <c r="Q9" s="452" t="s">
        <v>197</v>
      </c>
      <c r="R9" s="173" t="s">
        <v>198</v>
      </c>
      <c r="T9" s="175" t="s">
        <v>199</v>
      </c>
      <c r="U9" s="176" t="s">
        <v>200</v>
      </c>
      <c r="V9" s="175" t="s">
        <v>199</v>
      </c>
      <c r="W9" s="176" t="s">
        <v>200</v>
      </c>
      <c r="X9" s="177">
        <v>5</v>
      </c>
      <c r="Y9" s="178" t="s">
        <v>27</v>
      </c>
      <c r="Z9" s="375"/>
    </row>
    <row r="10" spans="1:28" s="188" customFormat="1" ht="27.75" customHeight="1" x14ac:dyDescent="0.35">
      <c r="A10" s="180" t="s">
        <v>201</v>
      </c>
      <c r="B10" s="181" t="s">
        <v>202</v>
      </c>
      <c r="C10" s="182">
        <v>44678</v>
      </c>
      <c r="D10" s="180" t="s">
        <v>203</v>
      </c>
      <c r="E10" s="183">
        <v>2</v>
      </c>
      <c r="F10" s="181" t="s">
        <v>104</v>
      </c>
      <c r="G10" s="181" t="s">
        <v>204</v>
      </c>
      <c r="H10" s="181" t="s">
        <v>205</v>
      </c>
      <c r="I10" s="184" t="s">
        <v>27</v>
      </c>
      <c r="J10" s="184" t="s">
        <v>206</v>
      </c>
      <c r="K10" s="185" t="str">
        <f>(IF(Tableau3[[#This Row],[Probabilité / Occurrence]]="","",VLOOKUP((VLOOKUP(Tableau3[[#This Row],[Probabilité / Occurrence]],$T$10:$U$13,2,FALSE)*(VLOOKUP(Tableau3[[#This Row],[Gravité]],$V$10:$W$13,2,FALSE))),$X$9:$Y$23,2,FALSE)))</f>
        <v>Moyenne</v>
      </c>
      <c r="L10" s="181" t="s">
        <v>207</v>
      </c>
      <c r="M10" s="181" t="s">
        <v>208</v>
      </c>
      <c r="N10" s="186">
        <v>44752</v>
      </c>
      <c r="O10" s="186" t="s">
        <v>209</v>
      </c>
      <c r="P10" s="186">
        <v>44824</v>
      </c>
      <c r="Q10" s="187">
        <v>0.9</v>
      </c>
      <c r="R10" s="180"/>
      <c r="T10" s="164" t="s">
        <v>27</v>
      </c>
      <c r="U10" s="163">
        <v>1</v>
      </c>
      <c r="V10" s="164" t="s">
        <v>27</v>
      </c>
      <c r="W10" s="163">
        <v>5</v>
      </c>
      <c r="X10" s="189">
        <v>6</v>
      </c>
      <c r="Y10" s="190" t="s">
        <v>27</v>
      </c>
      <c r="Z10" s="191" t="s">
        <v>210</v>
      </c>
      <c r="AA10" s="158"/>
      <c r="AB10" s="158"/>
    </row>
    <row r="11" spans="1:28" s="188" customFormat="1" ht="27.75" customHeight="1" x14ac:dyDescent="0.35">
      <c r="A11" s="196" t="s">
        <v>211</v>
      </c>
      <c r="B11" s="181" t="s">
        <v>212</v>
      </c>
      <c r="C11" s="182">
        <v>44678</v>
      </c>
      <c r="D11" s="180" t="s">
        <v>203</v>
      </c>
      <c r="E11" s="183">
        <v>3</v>
      </c>
      <c r="F11" s="181" t="s">
        <v>105</v>
      </c>
      <c r="G11" s="181" t="s">
        <v>213</v>
      </c>
      <c r="H11" s="193"/>
      <c r="I11" s="184" t="s">
        <v>214</v>
      </c>
      <c r="J11" s="184" t="s">
        <v>27</v>
      </c>
      <c r="K11" s="185" t="str">
        <f>(IF(Tableau3[[#This Row],[Probabilité / Occurrence]]="","",VLOOKUP((VLOOKUP(Tableau3[[#This Row],[Probabilité / Occurrence]],$T$10:$U$13,2,FALSE)*(VLOOKUP(Tableau3[[#This Row],[Gravité]],$V$10:$W$13,2,FALSE))),$X$9:$Y$23,2,FALSE)))</f>
        <v>Faible</v>
      </c>
      <c r="L11" s="193"/>
      <c r="M11" s="193"/>
      <c r="N11" s="194"/>
      <c r="O11" s="186"/>
      <c r="P11" s="194"/>
      <c r="Q11" s="195"/>
      <c r="R11" s="196"/>
      <c r="T11" s="164" t="s">
        <v>214</v>
      </c>
      <c r="U11" s="163">
        <v>2</v>
      </c>
      <c r="V11" s="164" t="s">
        <v>214</v>
      </c>
      <c r="W11" s="163">
        <v>6</v>
      </c>
      <c r="X11" s="189">
        <v>7</v>
      </c>
      <c r="Y11" s="190" t="s">
        <v>27</v>
      </c>
      <c r="Z11" s="168" t="s">
        <v>215</v>
      </c>
    </row>
    <row r="12" spans="1:28" s="188" customFormat="1" ht="27.75" customHeight="1" x14ac:dyDescent="0.35">
      <c r="A12" s="196" t="s">
        <v>216</v>
      </c>
      <c r="B12" s="181" t="s">
        <v>202</v>
      </c>
      <c r="C12" s="182">
        <v>44678</v>
      </c>
      <c r="D12" s="180" t="s">
        <v>203</v>
      </c>
      <c r="E12" s="183">
        <v>10</v>
      </c>
      <c r="F12" s="181" t="s">
        <v>104</v>
      </c>
      <c r="G12" s="181" t="s">
        <v>217</v>
      </c>
      <c r="H12" s="193"/>
      <c r="I12" s="184" t="s">
        <v>27</v>
      </c>
      <c r="J12" s="184" t="s">
        <v>27</v>
      </c>
      <c r="K12" s="185" t="str">
        <f>(IF(Tableau3[[#This Row],[Probabilité / Occurrence]]="","",VLOOKUP((VLOOKUP(Tableau3[[#This Row],[Probabilité / Occurrence]],$T$10:$U$13,2,FALSE)*(VLOOKUP(Tableau3[[#This Row],[Gravité]],$V$10:$W$13,2,FALSE))),$X$9:$Y$23,2,FALSE)))</f>
        <v>Faible</v>
      </c>
      <c r="L12" s="193"/>
      <c r="M12" s="193"/>
      <c r="N12" s="194"/>
      <c r="O12" s="186"/>
      <c r="P12" s="194"/>
      <c r="Q12" s="195"/>
      <c r="R12" s="196"/>
      <c r="T12" s="164" t="s">
        <v>218</v>
      </c>
      <c r="U12" s="163">
        <v>3</v>
      </c>
      <c r="V12" s="164" t="s">
        <v>218</v>
      </c>
      <c r="W12" s="163">
        <v>7</v>
      </c>
      <c r="X12" s="189">
        <v>8</v>
      </c>
      <c r="Y12" s="197" t="s">
        <v>214</v>
      </c>
      <c r="Z12" s="168" t="s">
        <v>219</v>
      </c>
    </row>
    <row r="13" spans="1:28" s="188" customFormat="1" ht="27.75" customHeight="1" x14ac:dyDescent="0.35">
      <c r="A13" s="196" t="s">
        <v>220</v>
      </c>
      <c r="B13" s="181" t="s">
        <v>221</v>
      </c>
      <c r="C13" s="182">
        <v>44696</v>
      </c>
      <c r="D13" s="180" t="s">
        <v>222</v>
      </c>
      <c r="E13" s="183">
        <v>5</v>
      </c>
      <c r="F13" s="181" t="s">
        <v>104</v>
      </c>
      <c r="G13" s="181" t="s">
        <v>223</v>
      </c>
      <c r="H13" s="193"/>
      <c r="I13" s="184" t="s">
        <v>214</v>
      </c>
      <c r="J13" s="184" t="s">
        <v>27</v>
      </c>
      <c r="K13" s="185" t="str">
        <f>(IF(Tableau3[[#This Row],[Probabilité / Occurrence]]="","",VLOOKUP((VLOOKUP(Tableau3[[#This Row],[Probabilité / Occurrence]],$T$10:$U$13,2,FALSE)*(VLOOKUP(Tableau3[[#This Row],[Gravité]],$V$10:$W$13,2,FALSE))),$X$9:$Y$23,2,FALSE)))</f>
        <v>Faible</v>
      </c>
      <c r="L13" s="193"/>
      <c r="M13" s="193"/>
      <c r="N13" s="194"/>
      <c r="O13" s="186"/>
      <c r="P13" s="194"/>
      <c r="Q13" s="195"/>
      <c r="R13" s="196"/>
      <c r="T13" s="165" t="s">
        <v>206</v>
      </c>
      <c r="U13" s="166">
        <v>4</v>
      </c>
      <c r="V13" s="165" t="s">
        <v>206</v>
      </c>
      <c r="W13" s="166">
        <v>8</v>
      </c>
      <c r="X13" s="189">
        <v>10</v>
      </c>
      <c r="Y13" s="190" t="s">
        <v>27</v>
      </c>
      <c r="Z13" s="168" t="s">
        <v>224</v>
      </c>
    </row>
    <row r="14" spans="1:28" s="188" customFormat="1" ht="27.75" customHeight="1" x14ac:dyDescent="0.35">
      <c r="A14" s="196" t="s">
        <v>225</v>
      </c>
      <c r="B14" s="181" t="s">
        <v>221</v>
      </c>
      <c r="C14" s="182">
        <v>44698</v>
      </c>
      <c r="D14" s="180" t="s">
        <v>222</v>
      </c>
      <c r="E14" s="183">
        <v>24</v>
      </c>
      <c r="F14" s="181" t="s">
        <v>106</v>
      </c>
      <c r="G14" s="181" t="s">
        <v>226</v>
      </c>
      <c r="H14" s="193"/>
      <c r="I14" s="184" t="s">
        <v>206</v>
      </c>
      <c r="J14" s="184" t="s">
        <v>218</v>
      </c>
      <c r="K14" s="185" t="str">
        <f>(IF(Tableau3[[#This Row],[Probabilité / Occurrence]]="","",VLOOKUP((VLOOKUP(Tableau3[[#This Row],[Probabilité / Occurrence]],$T$10:$U$13,2,FALSE)*(VLOOKUP(Tableau3[[#This Row],[Gravité]],$V$10:$W$13,2,FALSE))),$X$9:$Y$23,2,FALSE)))</f>
        <v>Très forte</v>
      </c>
      <c r="L14" s="193"/>
      <c r="M14" s="193"/>
      <c r="N14" s="194"/>
      <c r="O14" s="186"/>
      <c r="P14" s="194"/>
      <c r="Q14" s="195"/>
      <c r="R14" s="196"/>
      <c r="T14" s="157"/>
      <c r="U14" s="157"/>
      <c r="V14" s="157"/>
      <c r="W14" s="157"/>
      <c r="X14" s="189">
        <v>12</v>
      </c>
      <c r="Y14" s="197" t="s">
        <v>214</v>
      </c>
      <c r="Z14" s="168" t="s">
        <v>227</v>
      </c>
    </row>
    <row r="15" spans="1:28" s="188" customFormat="1" ht="27.75" customHeight="1" x14ac:dyDescent="0.35">
      <c r="A15" s="196" t="s">
        <v>228</v>
      </c>
      <c r="B15" s="181" t="s">
        <v>212</v>
      </c>
      <c r="C15" s="182">
        <v>44687</v>
      </c>
      <c r="D15" s="180" t="s">
        <v>222</v>
      </c>
      <c r="E15" s="183">
        <v>35</v>
      </c>
      <c r="F15" s="181" t="s">
        <v>105</v>
      </c>
      <c r="G15" s="181" t="s">
        <v>229</v>
      </c>
      <c r="H15" s="193"/>
      <c r="I15" s="184" t="s">
        <v>218</v>
      </c>
      <c r="J15" s="184" t="s">
        <v>206</v>
      </c>
      <c r="K15" s="185" t="str">
        <f>(IF(Tableau3[[#This Row],[Probabilité / Occurrence]]="","",VLOOKUP((VLOOKUP(Tableau3[[#This Row],[Probabilité / Occurrence]],$T$10:$U$13,2,FALSE)*(VLOOKUP(Tableau3[[#This Row],[Gravité]],$V$10:$W$13,2,FALSE))),$X$9:$Y$23,2,FALSE)))</f>
        <v>Forte</v>
      </c>
      <c r="L15" s="193"/>
      <c r="M15" s="193"/>
      <c r="N15" s="194"/>
      <c r="O15" s="186"/>
      <c r="P15" s="194"/>
      <c r="Q15" s="195"/>
      <c r="R15" s="196"/>
      <c r="T15" s="157"/>
      <c r="U15" s="157"/>
      <c r="V15" s="157"/>
      <c r="W15" s="157"/>
      <c r="X15" s="189">
        <v>14</v>
      </c>
      <c r="Y15" s="197" t="s">
        <v>214</v>
      </c>
      <c r="Z15" s="169" t="s">
        <v>209</v>
      </c>
    </row>
    <row r="16" spans="1:28" s="188" customFormat="1" ht="27.75" customHeight="1" x14ac:dyDescent="0.35">
      <c r="A16" s="196" t="s">
        <v>230</v>
      </c>
      <c r="B16" s="181" t="s">
        <v>231</v>
      </c>
      <c r="C16" s="182">
        <v>44727</v>
      </c>
      <c r="D16" s="180" t="s">
        <v>222</v>
      </c>
      <c r="E16" s="183">
        <v>1</v>
      </c>
      <c r="F16" s="181" t="s">
        <v>106</v>
      </c>
      <c r="G16" s="181" t="s">
        <v>232</v>
      </c>
      <c r="H16" s="193"/>
      <c r="I16" s="184" t="s">
        <v>206</v>
      </c>
      <c r="J16" s="184" t="s">
        <v>214</v>
      </c>
      <c r="K16" s="185" t="str">
        <f>(IF(Tableau3[[#This Row],[Probabilité / Occurrence]]="","",VLOOKUP((VLOOKUP(Tableau3[[#This Row],[Probabilité / Occurrence]],$T$10:$U$13,2,FALSE)*(VLOOKUP(Tableau3[[#This Row],[Gravité]],$V$10:$W$13,2,FALSE))),$X$9:$Y$23,2,FALSE)))</f>
        <v>Forte</v>
      </c>
      <c r="L16" s="193"/>
      <c r="M16" s="193"/>
      <c r="N16" s="194"/>
      <c r="O16" s="186"/>
      <c r="P16" s="194"/>
      <c r="Q16" s="195"/>
      <c r="R16" s="196"/>
      <c r="X16" s="189">
        <v>15</v>
      </c>
      <c r="Y16" s="197" t="s">
        <v>214</v>
      </c>
    </row>
    <row r="17" spans="1:26" s="188" customFormat="1" ht="27.75" customHeight="1" x14ac:dyDescent="0.35">
      <c r="A17" s="196" t="s">
        <v>233</v>
      </c>
      <c r="B17" s="181" t="s">
        <v>231</v>
      </c>
      <c r="C17" s="182">
        <v>44727</v>
      </c>
      <c r="D17" s="180" t="s">
        <v>222</v>
      </c>
      <c r="E17" s="183">
        <v>3</v>
      </c>
      <c r="F17" s="181" t="s">
        <v>105</v>
      </c>
      <c r="G17" s="181" t="s">
        <v>234</v>
      </c>
      <c r="H17" s="193"/>
      <c r="I17" s="184" t="s">
        <v>218</v>
      </c>
      <c r="J17" s="184" t="s">
        <v>218</v>
      </c>
      <c r="K17" s="185" t="str">
        <f>(IF(Tableau3[[#This Row],[Probabilité / Occurrence]]="","",VLOOKUP((VLOOKUP(Tableau3[[#This Row],[Probabilité / Occurrence]],$T$10:$U$13,2,FALSE)*(VLOOKUP(Tableau3[[#This Row],[Gravité]],$V$10:$W$13,2,FALSE))),$X$9:$Y$23,2,FALSE)))</f>
        <v>Forte</v>
      </c>
      <c r="L17" s="193"/>
      <c r="M17" s="193"/>
      <c r="N17" s="194"/>
      <c r="O17" s="186"/>
      <c r="P17" s="194"/>
      <c r="Q17" s="195"/>
      <c r="R17" s="196"/>
      <c r="X17" s="189">
        <v>16</v>
      </c>
      <c r="Y17" s="197" t="s">
        <v>214</v>
      </c>
    </row>
    <row r="18" spans="1:26" s="188" customFormat="1" ht="27.75" customHeight="1" x14ac:dyDescent="0.35">
      <c r="A18" s="196" t="s">
        <v>235</v>
      </c>
      <c r="B18" s="181" t="s">
        <v>231</v>
      </c>
      <c r="C18" s="182">
        <v>44727</v>
      </c>
      <c r="D18" s="180" t="s">
        <v>222</v>
      </c>
      <c r="E18" s="183">
        <v>2</v>
      </c>
      <c r="F18" s="181" t="s">
        <v>105</v>
      </c>
      <c r="G18" s="181" t="s">
        <v>236</v>
      </c>
      <c r="H18" s="193"/>
      <c r="I18" s="184" t="s">
        <v>214</v>
      </c>
      <c r="J18" s="184" t="s">
        <v>214</v>
      </c>
      <c r="K18" s="185" t="str">
        <f>(IF(Tableau3[[#This Row],[Probabilité / Occurrence]]="","",VLOOKUP((VLOOKUP(Tableau3[[#This Row],[Probabilité / Occurrence]],$T$10:$U$13,2,FALSE)*(VLOOKUP(Tableau3[[#This Row],[Gravité]],$V$10:$W$13,2,FALSE))),$X$9:$Y$23,2,FALSE)))</f>
        <v>Moyenne</v>
      </c>
      <c r="L18" s="193"/>
      <c r="M18" s="193"/>
      <c r="N18" s="194"/>
      <c r="O18" s="186"/>
      <c r="P18" s="194"/>
      <c r="Q18" s="195"/>
      <c r="R18" s="196"/>
      <c r="X18" s="189">
        <v>18</v>
      </c>
      <c r="Y18" s="198" t="s">
        <v>218</v>
      </c>
    </row>
    <row r="19" spans="1:26" s="188" customFormat="1" ht="27.75" customHeight="1" x14ac:dyDescent="0.35">
      <c r="A19" s="196" t="s">
        <v>237</v>
      </c>
      <c r="B19" s="181" t="s">
        <v>238</v>
      </c>
      <c r="C19" s="182">
        <v>44752</v>
      </c>
      <c r="D19" s="180" t="s">
        <v>222</v>
      </c>
      <c r="E19" s="183">
        <v>5</v>
      </c>
      <c r="F19" s="181" t="s">
        <v>105</v>
      </c>
      <c r="G19" s="181" t="s">
        <v>239</v>
      </c>
      <c r="H19" s="193"/>
      <c r="I19" s="184" t="s">
        <v>27</v>
      </c>
      <c r="J19" s="184" t="s">
        <v>214</v>
      </c>
      <c r="K19" s="185" t="str">
        <f>(IF(Tableau3[[#This Row],[Probabilité / Occurrence]]="","",VLOOKUP((VLOOKUP(Tableau3[[#This Row],[Probabilité / Occurrence]],$T$10:$U$13,2,FALSE)*(VLOOKUP(Tableau3[[#This Row],[Gravité]],$V$10:$W$13,2,FALSE))),$X$9:$Y$23,2,FALSE)))</f>
        <v>Faible</v>
      </c>
      <c r="L19" s="193"/>
      <c r="M19" s="193"/>
      <c r="N19" s="194"/>
      <c r="O19" s="186"/>
      <c r="P19" s="194"/>
      <c r="Q19" s="195"/>
      <c r="R19" s="196"/>
      <c r="X19" s="189">
        <v>20</v>
      </c>
      <c r="Y19" s="197" t="s">
        <v>214</v>
      </c>
    </row>
    <row r="20" spans="1:26" s="188" customFormat="1" ht="27.75" customHeight="1" x14ac:dyDescent="0.35">
      <c r="A20" s="196" t="s">
        <v>240</v>
      </c>
      <c r="B20" s="181" t="s">
        <v>238</v>
      </c>
      <c r="C20" s="182">
        <v>44762</v>
      </c>
      <c r="D20" s="180" t="s">
        <v>222</v>
      </c>
      <c r="E20" s="183">
        <v>9</v>
      </c>
      <c r="F20" s="181" t="s">
        <v>103</v>
      </c>
      <c r="G20" s="181" t="s">
        <v>241</v>
      </c>
      <c r="H20" s="193"/>
      <c r="I20" s="184" t="s">
        <v>214</v>
      </c>
      <c r="J20" s="184" t="s">
        <v>206</v>
      </c>
      <c r="K20" s="185" t="str">
        <f>(IF(Tableau3[[#This Row],[Probabilité / Occurrence]]="","",VLOOKUP((VLOOKUP(Tableau3[[#This Row],[Probabilité / Occurrence]],$T$10:$U$13,2,FALSE)*(VLOOKUP(Tableau3[[#This Row],[Gravité]],$V$10:$W$13,2,FALSE))),$X$9:$Y$23,2,FALSE)))</f>
        <v>Moyenne</v>
      </c>
      <c r="L20" s="193"/>
      <c r="M20" s="193"/>
      <c r="N20" s="194"/>
      <c r="O20" s="186"/>
      <c r="P20" s="194"/>
      <c r="Q20" s="195"/>
      <c r="R20" s="196"/>
      <c r="X20" s="189">
        <v>21</v>
      </c>
      <c r="Y20" s="198" t="s">
        <v>218</v>
      </c>
    </row>
    <row r="21" spans="1:26" s="188" customFormat="1" ht="27.75" customHeight="1" x14ac:dyDescent="0.35">
      <c r="A21" s="196" t="s">
        <v>242</v>
      </c>
      <c r="B21" s="181" t="s">
        <v>238</v>
      </c>
      <c r="C21" s="182">
        <v>44767</v>
      </c>
      <c r="D21" s="180" t="s">
        <v>222</v>
      </c>
      <c r="E21" s="183">
        <v>6</v>
      </c>
      <c r="F21" s="181" t="s">
        <v>104</v>
      </c>
      <c r="G21" s="181" t="s">
        <v>243</v>
      </c>
      <c r="H21" s="193"/>
      <c r="I21" s="184" t="s">
        <v>27</v>
      </c>
      <c r="J21" s="184" t="s">
        <v>27</v>
      </c>
      <c r="K21" s="185" t="str">
        <f>(IF(Tableau3[[#This Row],[Probabilité / Occurrence]]="","",VLOOKUP((VLOOKUP(Tableau3[[#This Row],[Probabilité / Occurrence]],$T$10:$U$13,2,FALSE)*(VLOOKUP(Tableau3[[#This Row],[Gravité]],$V$10:$W$13,2,FALSE))),$X$9:$Y$23,2,FALSE)))</f>
        <v>Faible</v>
      </c>
      <c r="L21" s="193"/>
      <c r="M21" s="193"/>
      <c r="N21" s="194"/>
      <c r="O21" s="186"/>
      <c r="P21" s="194"/>
      <c r="Q21" s="195"/>
      <c r="R21" s="196"/>
      <c r="X21" s="189">
        <v>24</v>
      </c>
      <c r="Y21" s="198" t="s">
        <v>218</v>
      </c>
    </row>
    <row r="22" spans="1:26" s="188" customFormat="1" ht="16.5" x14ac:dyDescent="0.35">
      <c r="A22" s="196" t="s">
        <v>244</v>
      </c>
      <c r="B22" s="181" t="s">
        <v>245</v>
      </c>
      <c r="C22" s="182">
        <v>46070</v>
      </c>
      <c r="D22" s="180"/>
      <c r="E22" s="183"/>
      <c r="F22" s="181" t="s">
        <v>104</v>
      </c>
      <c r="G22" s="193" t="s">
        <v>246</v>
      </c>
      <c r="H22" s="193"/>
      <c r="I22" s="184" t="s">
        <v>214</v>
      </c>
      <c r="J22" s="184" t="s">
        <v>218</v>
      </c>
      <c r="K22" s="185" t="str">
        <f>(IF(Tableau3[[#This Row],[Probabilité / Occurrence]]="","",VLOOKUP((VLOOKUP(Tableau3[[#This Row],[Probabilité / Occurrence]],$T$10:$U$13,2,FALSE)*(VLOOKUP(Tableau3[[#This Row],[Gravité]],$V$10:$W$13,2,FALSE))),$X$9:$Y$23,2,FALSE)))</f>
        <v>Moyenne</v>
      </c>
      <c r="L22" s="193"/>
      <c r="M22" s="193"/>
      <c r="N22" s="194"/>
      <c r="O22" s="186"/>
      <c r="P22" s="194"/>
      <c r="Q22" s="195"/>
      <c r="R22" s="196"/>
      <c r="X22" s="189">
        <v>28</v>
      </c>
      <c r="Y22" s="199" t="s">
        <v>206</v>
      </c>
    </row>
    <row r="23" spans="1:26" s="188" customFormat="1" ht="16.5" x14ac:dyDescent="0.35">
      <c r="A23" s="196" t="s">
        <v>249</v>
      </c>
      <c r="B23" s="181" t="s">
        <v>245</v>
      </c>
      <c r="C23" s="182">
        <v>46070</v>
      </c>
      <c r="D23" s="180"/>
      <c r="E23" s="183"/>
      <c r="F23" s="181" t="s">
        <v>104</v>
      </c>
      <c r="G23" t="s">
        <v>250</v>
      </c>
      <c r="H23" s="193"/>
      <c r="I23" s="184" t="s">
        <v>214</v>
      </c>
      <c r="J23" s="184" t="s">
        <v>218</v>
      </c>
      <c r="K23" s="185" t="str">
        <f>(IF(Tableau3[[#This Row],[Probabilité / Occurrence]]="","",VLOOKUP((VLOOKUP(Tableau3[[#This Row],[Probabilité / Occurrence]],$T$10:$U$13,2,FALSE)*(VLOOKUP(Tableau3[[#This Row],[Gravité]],$V$10:$W$13,2,FALSE))),$X$9:$Y$23,2,FALSE)))</f>
        <v>Moyenne</v>
      </c>
      <c r="L23" s="193"/>
      <c r="M23" s="200"/>
      <c r="N23" s="194"/>
      <c r="O23" s="186"/>
      <c r="P23" s="194"/>
      <c r="Q23" s="195"/>
      <c r="R23" s="196"/>
      <c r="X23" s="201">
        <v>32</v>
      </c>
      <c r="Y23" s="202" t="s">
        <v>206</v>
      </c>
    </row>
    <row r="24" spans="1:26" s="188" customFormat="1" ht="16.5" x14ac:dyDescent="0.35">
      <c r="A24" s="196" t="s">
        <v>253</v>
      </c>
      <c r="B24" s="181" t="s">
        <v>245</v>
      </c>
      <c r="C24" s="182">
        <v>46070</v>
      </c>
      <c r="D24" s="180"/>
      <c r="E24" s="183"/>
      <c r="F24" s="181" t="s">
        <v>102</v>
      </c>
      <c r="G24" s="193" t="s">
        <v>254</v>
      </c>
      <c r="H24" s="193"/>
      <c r="I24" s="184" t="s">
        <v>27</v>
      </c>
      <c r="J24" s="184" t="s">
        <v>206</v>
      </c>
      <c r="K24" s="185" t="str">
        <f>(IF(Tableau3[[#This Row],[Probabilité / Occurrence]]="","",VLOOKUP((VLOOKUP(Tableau3[[#This Row],[Probabilité / Occurrence]],$T$10:$U$13,2,FALSE)*(VLOOKUP(Tableau3[[#This Row],[Gravité]],$V$10:$W$13,2,FALSE))),$X$9:$Y$23,2,FALSE)))</f>
        <v>Moyenne</v>
      </c>
      <c r="L24" s="193"/>
      <c r="M24" s="200"/>
      <c r="N24" s="194"/>
      <c r="O24" s="186"/>
      <c r="P24" s="194"/>
      <c r="Q24" s="195"/>
      <c r="R24" s="196"/>
      <c r="X24" s="157"/>
      <c r="Y24" s="157"/>
    </row>
    <row r="25" spans="1:26" s="188" customFormat="1" ht="16.5" x14ac:dyDescent="0.35">
      <c r="A25" s="196" t="s">
        <v>258</v>
      </c>
      <c r="B25" s="181" t="s">
        <v>259</v>
      </c>
      <c r="C25" s="182">
        <v>46071</v>
      </c>
      <c r="D25" s="180"/>
      <c r="E25" s="183"/>
      <c r="F25" s="181" t="s">
        <v>104</v>
      </c>
      <c r="G25" s="193" t="s">
        <v>260</v>
      </c>
      <c r="H25" s="193" t="s">
        <v>261</v>
      </c>
      <c r="I25" s="184" t="s">
        <v>218</v>
      </c>
      <c r="J25" s="184" t="s">
        <v>206</v>
      </c>
      <c r="K25" s="185" t="str">
        <f>(IF(Tableau3[[#This Row],[Probabilité / Occurrence]]="","",VLOOKUP((VLOOKUP(Tableau3[[#This Row],[Probabilité / Occurrence]],$T$10:$U$13,2,FALSE)*(VLOOKUP(Tableau3[[#This Row],[Gravité]],$V$10:$W$13,2,FALSE))),$X$9:$Y$23,2,FALSE)))</f>
        <v>Forte</v>
      </c>
      <c r="L25" s="193" t="s">
        <v>262</v>
      </c>
      <c r="M25" s="200" t="s">
        <v>252</v>
      </c>
      <c r="N25" s="194">
        <v>46057</v>
      </c>
      <c r="O25" s="186" t="s">
        <v>209</v>
      </c>
      <c r="P25" s="194">
        <v>46071</v>
      </c>
      <c r="Q25" s="195">
        <v>1</v>
      </c>
      <c r="R25" s="196"/>
      <c r="T25" s="157"/>
      <c r="U25" s="157"/>
      <c r="V25" s="157"/>
      <c r="W25" s="157"/>
      <c r="X25" s="157"/>
      <c r="Y25" s="157"/>
      <c r="Z25" s="157"/>
    </row>
    <row r="26" spans="1:26" s="188" customFormat="1" ht="33" x14ac:dyDescent="0.35">
      <c r="A26" s="196" t="s">
        <v>263</v>
      </c>
      <c r="B26" s="181" t="s">
        <v>259</v>
      </c>
      <c r="C26" s="182">
        <v>46071</v>
      </c>
      <c r="D26" s="180"/>
      <c r="E26" s="183"/>
      <c r="F26" s="181" t="s">
        <v>103</v>
      </c>
      <c r="G26" t="s">
        <v>264</v>
      </c>
      <c r="H26" s="193" t="s">
        <v>205</v>
      </c>
      <c r="I26" s="184" t="s">
        <v>214</v>
      </c>
      <c r="J26" s="184" t="s">
        <v>218</v>
      </c>
      <c r="K26" s="185" t="str">
        <f>(IF(Tableau3[[#This Row],[Probabilité / Occurrence]]="","",VLOOKUP((VLOOKUP(Tableau3[[#This Row],[Probabilité / Occurrence]],$T$10:$U$13,2,FALSE)*(VLOOKUP(Tableau3[[#This Row],[Gravité]],$V$10:$W$13,2,FALSE))),$X$9:$Y$23,2,FALSE)))</f>
        <v>Moyenne</v>
      </c>
      <c r="L26" s="193" t="s">
        <v>265</v>
      </c>
      <c r="M26" t="s">
        <v>266</v>
      </c>
      <c r="N26" s="194">
        <v>46071</v>
      </c>
      <c r="O26" s="186" t="s">
        <v>219</v>
      </c>
      <c r="P26" s="196"/>
      <c r="Q26" s="195"/>
      <c r="R26" s="196"/>
      <c r="T26" s="157"/>
      <c r="U26" s="157"/>
      <c r="V26" s="157"/>
      <c r="W26" s="157"/>
      <c r="X26" s="157"/>
      <c r="Y26" s="157"/>
      <c r="Z26" s="157"/>
    </row>
    <row r="27" spans="1:26" s="188" customFormat="1" ht="33" x14ac:dyDescent="0.35">
      <c r="A27" s="196" t="s">
        <v>267</v>
      </c>
      <c r="B27" s="181" t="s">
        <v>259</v>
      </c>
      <c r="C27" s="182">
        <v>46071</v>
      </c>
      <c r="D27" s="180"/>
      <c r="E27" s="183"/>
      <c r="F27" s="181" t="s">
        <v>103</v>
      </c>
      <c r="G27" s="193" t="s">
        <v>268</v>
      </c>
      <c r="H27" s="193" t="s">
        <v>269</v>
      </c>
      <c r="I27" s="184" t="s">
        <v>218</v>
      </c>
      <c r="J27" s="184" t="s">
        <v>206</v>
      </c>
      <c r="K27" s="185" t="str">
        <f>(IF(Tableau3[[#This Row],[Probabilité / Occurrence]]="","",VLOOKUP((VLOOKUP(Tableau3[[#This Row],[Probabilité / Occurrence]],$T$10:$U$13,2,FALSE)*(VLOOKUP(Tableau3[[#This Row],[Gravité]],$V$10:$W$13,2,FALSE))),$X$9:$Y$23,2,FALSE)))</f>
        <v>Forte</v>
      </c>
      <c r="L27" s="193" t="s">
        <v>270</v>
      </c>
      <c r="M27" t="s">
        <v>271</v>
      </c>
      <c r="N27" s="194">
        <v>46071</v>
      </c>
      <c r="O27" s="186" t="s">
        <v>219</v>
      </c>
      <c r="P27" s="196"/>
      <c r="Q27" s="195"/>
      <c r="R27" s="196"/>
      <c r="T27" s="157"/>
      <c r="U27" s="157"/>
      <c r="V27" s="157"/>
      <c r="W27" s="157"/>
      <c r="Z27" s="157"/>
    </row>
    <row r="28" spans="1:26" s="188" customFormat="1" ht="16.5" x14ac:dyDescent="0.25">
      <c r="A28" s="192"/>
      <c r="B28" s="181"/>
      <c r="C28" s="182"/>
      <c r="D28" s="180"/>
      <c r="E28" s="183"/>
      <c r="F28" s="181"/>
      <c r="G28" s="193"/>
      <c r="H28" s="193"/>
      <c r="I28" s="184"/>
      <c r="J28" s="184"/>
      <c r="K28" s="185" t="str">
        <f>(IF(Tableau3[[#This Row],[Probabilité / Occurrence]]="","",VLOOKUP((VLOOKUP(Tableau3[[#This Row],[Probabilité / Occurrence]],$T$10:$U$13,2,FALSE)*(VLOOKUP(Tableau3[[#This Row],[Gravité]],$V$10:$W$13,2,FALSE))),$X$9:$Y$23,2,FALSE)))</f>
        <v/>
      </c>
      <c r="L28" s="193"/>
      <c r="M28" s="200"/>
      <c r="N28" s="194"/>
      <c r="O28" s="186"/>
      <c r="P28" s="196"/>
      <c r="Q28" s="195"/>
      <c r="R28" s="196"/>
    </row>
    <row r="29" spans="1:26" s="188" customFormat="1" ht="16.5" x14ac:dyDescent="0.25">
      <c r="A29" s="192"/>
      <c r="B29" s="181"/>
      <c r="C29" s="182"/>
      <c r="D29" s="180"/>
      <c r="E29" s="183"/>
      <c r="F29" s="181"/>
      <c r="G29" s="193"/>
      <c r="H29" s="193"/>
      <c r="I29" s="184"/>
      <c r="J29" s="184"/>
      <c r="K29" s="185" t="str">
        <f>(IF(Tableau3[[#This Row],[Probabilité / Occurrence]]="","",VLOOKUP((VLOOKUP(Tableau3[[#This Row],[Probabilité / Occurrence]],$T$10:$U$13,2,FALSE)*(VLOOKUP(Tableau3[[#This Row],[Gravité]],$V$10:$W$13,2,FALSE))),$X$9:$Y$23,2,FALSE)))</f>
        <v/>
      </c>
      <c r="L29" s="193"/>
      <c r="M29" s="200"/>
      <c r="N29" s="194"/>
      <c r="O29" s="186"/>
      <c r="P29" s="196"/>
      <c r="Q29" s="195"/>
      <c r="R29" s="196"/>
    </row>
    <row r="30" spans="1:26" s="188" customFormat="1" ht="16.5" x14ac:dyDescent="0.25">
      <c r="A30" s="192"/>
      <c r="B30" s="181"/>
      <c r="C30" s="182"/>
      <c r="D30" s="180"/>
      <c r="E30" s="183"/>
      <c r="F30" s="181"/>
      <c r="G30" s="193"/>
      <c r="H30" s="193"/>
      <c r="I30" s="184"/>
      <c r="J30" s="184"/>
      <c r="K30" s="185" t="str">
        <f>(IF(Tableau3[[#This Row],[Probabilité / Occurrence]]="","",VLOOKUP((VLOOKUP(Tableau3[[#This Row],[Probabilité / Occurrence]],$T$10:$U$13,2,FALSE)*(VLOOKUP(Tableau3[[#This Row],[Gravité]],$V$10:$W$13,2,FALSE))),$X$9:$Y$23,2,FALSE)))</f>
        <v/>
      </c>
      <c r="L30" s="193"/>
      <c r="M30" s="200"/>
      <c r="N30" s="194"/>
      <c r="O30" s="186"/>
      <c r="P30" s="196"/>
      <c r="Q30" s="195"/>
      <c r="R30" s="196"/>
    </row>
    <row r="31" spans="1:26" s="188" customFormat="1" ht="16.5" x14ac:dyDescent="0.25">
      <c r="A31" s="192"/>
      <c r="B31" s="181"/>
      <c r="C31" s="182"/>
      <c r="D31" s="180"/>
      <c r="E31" s="183"/>
      <c r="F31" s="181"/>
      <c r="G31" s="193"/>
      <c r="H31" s="193"/>
      <c r="I31" s="184"/>
      <c r="J31" s="184"/>
      <c r="K31" s="185" t="str">
        <f>(IF(Tableau3[[#This Row],[Probabilité / Occurrence]]="","",VLOOKUP((VLOOKUP(Tableau3[[#This Row],[Probabilité / Occurrence]],$T$10:$U$13,2,FALSE)*(VLOOKUP(Tableau3[[#This Row],[Gravité]],$V$10:$W$13,2,FALSE))),$X$9:$Y$23,2,FALSE)))</f>
        <v/>
      </c>
      <c r="L31" s="193"/>
      <c r="M31" s="200"/>
      <c r="N31" s="194"/>
      <c r="O31" s="186"/>
      <c r="P31" s="196"/>
      <c r="Q31" s="195"/>
      <c r="R31" s="196"/>
    </row>
    <row r="32" spans="1:26" s="188" customFormat="1" ht="16.5" x14ac:dyDescent="0.25">
      <c r="A32" s="192"/>
      <c r="B32" s="181"/>
      <c r="C32" s="182"/>
      <c r="D32" s="180"/>
      <c r="E32" s="183"/>
      <c r="F32" s="181"/>
      <c r="G32" s="193"/>
      <c r="H32" s="193"/>
      <c r="I32" s="184"/>
      <c r="J32" s="184"/>
      <c r="K32" s="185" t="str">
        <f>(IF(Tableau3[[#This Row],[Probabilité / Occurrence]]="","",VLOOKUP((VLOOKUP(Tableau3[[#This Row],[Probabilité / Occurrence]],$T$10:$U$13,2,FALSE)*(VLOOKUP(Tableau3[[#This Row],[Gravité]],$V$10:$W$13,2,FALSE))),$X$9:$Y$23,2,FALSE)))</f>
        <v/>
      </c>
      <c r="L32" s="193"/>
      <c r="M32" s="200"/>
      <c r="N32" s="194"/>
      <c r="O32" s="186"/>
      <c r="P32" s="196"/>
      <c r="Q32" s="195"/>
      <c r="R32" s="196"/>
    </row>
    <row r="33" spans="1:18" s="188" customFormat="1" ht="16.5" x14ac:dyDescent="0.25">
      <c r="A33" s="192"/>
      <c r="B33" s="181"/>
      <c r="C33" s="182"/>
      <c r="D33" s="180"/>
      <c r="E33" s="183"/>
      <c r="F33" s="181"/>
      <c r="G33" s="193"/>
      <c r="H33" s="193"/>
      <c r="I33" s="184"/>
      <c r="J33" s="184"/>
      <c r="K33" s="185" t="str">
        <f>(IF(Tableau3[[#This Row],[Probabilité / Occurrence]]="","",VLOOKUP((VLOOKUP(Tableau3[[#This Row],[Probabilité / Occurrence]],$T$10:$U$13,2,FALSE)*(VLOOKUP(Tableau3[[#This Row],[Gravité]],$V$10:$W$13,2,FALSE))),$X$9:$Y$23,2,FALSE)))</f>
        <v/>
      </c>
      <c r="L33" s="193"/>
      <c r="M33" s="200"/>
      <c r="N33" s="194"/>
      <c r="O33" s="186"/>
      <c r="P33" s="196"/>
      <c r="Q33" s="195"/>
      <c r="R33" s="196"/>
    </row>
    <row r="34" spans="1:18" s="188" customFormat="1" ht="16.5" x14ac:dyDescent="0.25">
      <c r="A34" s="192"/>
      <c r="B34" s="181"/>
      <c r="C34" s="182"/>
      <c r="D34" s="180"/>
      <c r="E34" s="183"/>
      <c r="F34" s="181"/>
      <c r="G34" s="193"/>
      <c r="H34" s="193"/>
      <c r="I34" s="184"/>
      <c r="J34" s="184"/>
      <c r="K34" s="185" t="str">
        <f>(IF(Tableau3[[#This Row],[Probabilité / Occurrence]]="","",VLOOKUP((VLOOKUP(Tableau3[[#This Row],[Probabilité / Occurrence]],$T$10:$U$13,2,FALSE)*(VLOOKUP(Tableau3[[#This Row],[Gravité]],$V$10:$W$13,2,FALSE))),$X$9:$Y$23,2,FALSE)))</f>
        <v/>
      </c>
      <c r="L34" s="193"/>
      <c r="M34" s="200"/>
      <c r="N34" s="194"/>
      <c r="O34" s="186"/>
      <c r="P34" s="196"/>
      <c r="Q34" s="195"/>
      <c r="R34" s="196"/>
    </row>
    <row r="35" spans="1:18" s="188" customFormat="1" ht="16.5" x14ac:dyDescent="0.25">
      <c r="A35" s="192"/>
      <c r="B35" s="181"/>
      <c r="C35" s="182"/>
      <c r="D35" s="180"/>
      <c r="E35" s="183"/>
      <c r="F35" s="181"/>
      <c r="G35" s="193"/>
      <c r="H35" s="193"/>
      <c r="I35" s="184"/>
      <c r="J35" s="184"/>
      <c r="K35" s="185" t="str">
        <f>(IF(Tableau3[[#This Row],[Probabilité / Occurrence]]="","",VLOOKUP((VLOOKUP(Tableau3[[#This Row],[Probabilité / Occurrence]],$T$10:$U$13,2,FALSE)*(VLOOKUP(Tableau3[[#This Row],[Gravité]],$V$10:$W$13,2,FALSE))),$X$9:$Y$23,2,FALSE)))</f>
        <v/>
      </c>
      <c r="L35" s="193"/>
      <c r="M35" s="200"/>
      <c r="N35" s="194"/>
      <c r="O35" s="186"/>
      <c r="P35" s="196"/>
      <c r="Q35" s="195"/>
      <c r="R35" s="196"/>
    </row>
    <row r="36" spans="1:18" s="188" customFormat="1" ht="16.5" x14ac:dyDescent="0.25">
      <c r="A36" s="192"/>
      <c r="B36" s="181"/>
      <c r="C36" s="182"/>
      <c r="D36" s="180"/>
      <c r="E36" s="183"/>
      <c r="F36" s="181"/>
      <c r="G36" s="193"/>
      <c r="H36" s="193"/>
      <c r="I36" s="184"/>
      <c r="J36" s="184"/>
      <c r="K36" s="185" t="str">
        <f>(IF(Tableau3[[#This Row],[Probabilité / Occurrence]]="","",VLOOKUP((VLOOKUP(Tableau3[[#This Row],[Probabilité / Occurrence]],$T$10:$U$13,2,FALSE)*(VLOOKUP(Tableau3[[#This Row],[Gravité]],$V$10:$W$13,2,FALSE))),$X$9:$Y$23,2,FALSE)))</f>
        <v/>
      </c>
      <c r="L36" s="193"/>
      <c r="M36" s="200"/>
      <c r="N36" s="194"/>
      <c r="O36" s="186"/>
      <c r="P36" s="196"/>
      <c r="Q36" s="195"/>
      <c r="R36" s="196"/>
    </row>
    <row r="37" spans="1:18" s="188" customFormat="1" ht="16.5" x14ac:dyDescent="0.25">
      <c r="A37" s="192"/>
      <c r="B37" s="181"/>
      <c r="C37" s="182"/>
      <c r="D37" s="180"/>
      <c r="E37" s="183"/>
      <c r="F37" s="181"/>
      <c r="G37" s="193"/>
      <c r="H37" s="193"/>
      <c r="I37" s="184"/>
      <c r="J37" s="184"/>
      <c r="K37" s="185" t="str">
        <f>(IF(Tableau3[[#This Row],[Probabilité / Occurrence]]="","",VLOOKUP((VLOOKUP(Tableau3[[#This Row],[Probabilité / Occurrence]],$T$10:$U$13,2,FALSE)*(VLOOKUP(Tableau3[[#This Row],[Gravité]],$V$10:$W$13,2,FALSE))),$X$9:$Y$23,2,FALSE)))</f>
        <v/>
      </c>
      <c r="L37" s="193"/>
      <c r="M37" s="200"/>
      <c r="N37" s="194"/>
      <c r="O37" s="186"/>
      <c r="P37" s="196"/>
      <c r="Q37" s="195"/>
      <c r="R37" s="196"/>
    </row>
    <row r="38" spans="1:18" s="188" customFormat="1" ht="16.5" x14ac:dyDescent="0.25">
      <c r="A38" s="192"/>
      <c r="B38" s="181"/>
      <c r="C38" s="182"/>
      <c r="D38" s="180"/>
      <c r="E38" s="183"/>
      <c r="F38" s="181"/>
      <c r="G38" s="193"/>
      <c r="H38" s="193"/>
      <c r="I38" s="184"/>
      <c r="J38" s="184"/>
      <c r="K38" s="185" t="str">
        <f>(IF(Tableau3[[#This Row],[Probabilité / Occurrence]]="","",VLOOKUP((VLOOKUP(Tableau3[[#This Row],[Probabilité / Occurrence]],$T$10:$U$13,2,FALSE)*(VLOOKUP(Tableau3[[#This Row],[Gravité]],$V$10:$W$13,2,FALSE))),$X$9:$Y$23,2,FALSE)))</f>
        <v/>
      </c>
      <c r="L38" s="193"/>
      <c r="M38" s="200"/>
      <c r="N38" s="194"/>
      <c r="O38" s="186"/>
      <c r="P38" s="196"/>
      <c r="Q38" s="195"/>
      <c r="R38" s="196"/>
    </row>
    <row r="39" spans="1:18" ht="15.75" x14ac:dyDescent="0.25">
      <c r="A39" s="156"/>
      <c r="B39" s="152"/>
      <c r="C39" s="152"/>
      <c r="D39" s="152"/>
      <c r="E39" s="152"/>
      <c r="G39"/>
      <c r="H39" s="152"/>
      <c r="I39" s="152"/>
      <c r="J39" s="152"/>
      <c r="K39" s="153"/>
      <c r="L39" s="152"/>
      <c r="M39" s="154"/>
      <c r="N39" s="152"/>
      <c r="O39" s="152"/>
    </row>
    <row r="40" spans="1:18" ht="15.75" x14ac:dyDescent="0.25">
      <c r="A40" s="156"/>
      <c r="B40" s="152"/>
      <c r="C40" s="152"/>
      <c r="D40" s="152"/>
      <c r="E40" s="152"/>
      <c r="G40"/>
      <c r="H40" s="152"/>
      <c r="I40" s="152"/>
      <c r="J40" s="152"/>
      <c r="K40" s="153"/>
      <c r="L40" s="152"/>
      <c r="M40" s="154"/>
      <c r="N40" s="152"/>
      <c r="O40" s="152"/>
    </row>
    <row r="41" spans="1:18" ht="15.75" x14ac:dyDescent="0.25">
      <c r="A41" s="156"/>
      <c r="B41" s="152"/>
      <c r="C41" s="152"/>
      <c r="D41" s="152"/>
      <c r="E41" s="152"/>
      <c r="G41"/>
      <c r="H41" s="152"/>
      <c r="I41" s="152"/>
      <c r="J41" s="152"/>
      <c r="K41" s="153"/>
      <c r="L41" s="152"/>
      <c r="M41" s="154"/>
      <c r="N41" s="152"/>
      <c r="O41" s="152"/>
    </row>
    <row r="42" spans="1:18" x14ac:dyDescent="0.25">
      <c r="G42"/>
    </row>
    <row r="43" spans="1:18" x14ac:dyDescent="0.25">
      <c r="G43"/>
    </row>
  </sheetData>
  <mergeCells count="10">
    <mergeCell ref="D8:E8"/>
    <mergeCell ref="A5:B5"/>
    <mergeCell ref="T7:U7"/>
    <mergeCell ref="V7:W7"/>
    <mergeCell ref="X7:Y7"/>
    <mergeCell ref="A1:R1"/>
    <mergeCell ref="F7:K7"/>
    <mergeCell ref="L7:R7"/>
    <mergeCell ref="A4:B4"/>
    <mergeCell ref="A7:E7"/>
  </mergeCells>
  <conditionalFormatting sqref="E10:E38">
    <cfRule type="expression" dxfId="75" priority="1">
      <formula>AND($C$4="MySystem",E10&gt;=10,E10&lt;=24)</formula>
    </cfRule>
    <cfRule type="expression" dxfId="74" priority="2">
      <formula>AND($C$4="MySystem",E10&gt;=3,E10&lt;=9)</formula>
    </cfRule>
    <cfRule type="expression" dxfId="73" priority="3">
      <formula>AND($C$4="MySystem",E10&gt;0,E10&lt;=2)</formula>
    </cfRule>
    <cfRule type="expression" dxfId="72" priority="4">
      <formula>AND($C$4="MySystem",E10&gt;=25)</formula>
    </cfRule>
  </conditionalFormatting>
  <conditionalFormatting sqref="K10:K38">
    <cfRule type="containsText" dxfId="71" priority="11" operator="containsText" text="Très forte">
      <formula>NOT(ISERROR(SEARCH("Très forte",K10)))</formula>
    </cfRule>
    <cfRule type="containsText" dxfId="70" priority="12" operator="containsText" text="Forte">
      <formula>NOT(ISERROR(SEARCH("Forte",K10)))</formula>
    </cfRule>
    <cfRule type="containsText" dxfId="69" priority="13" operator="containsText" text="Moyen">
      <formula>NOT(ISERROR(SEARCH("Moyen",K10)))</formula>
    </cfRule>
    <cfRule type="containsText" dxfId="68" priority="14" operator="containsText" text="Faible">
      <formula>NOT(ISERROR(SEARCH("Faible",K10)))</formula>
    </cfRule>
  </conditionalFormatting>
  <dataValidations count="11">
    <dataValidation type="list" errorStyle="warning" operator="greaterThan" allowBlank="1" showErrorMessage="1" errorTitle="Format incorrect" error="La valeur saisie doit être une date valide" sqref="O10:O38" xr:uid="{ECE66F9F-B026-49DD-818D-65ADE50CACE4}">
      <formula1>$Z$10:$Z$15</formula1>
    </dataValidation>
    <dataValidation type="list" allowBlank="1" showInputMessage="1" showErrorMessage="1" sqref="J10:J38" xr:uid="{840D9212-4BB5-414E-91B1-8A3311A3AF3F}">
      <formula1>$V$10:$V$13</formula1>
    </dataValidation>
    <dataValidation type="date" operator="greaterThan" allowBlank="1" showInputMessage="1" showErrorMessage="1" errorTitle="Date Invalide" error="La date doit être sous un format valide_x000a_JJ/MM/AA_x000a_JJ/MM/AAAA" sqref="C10:C38" xr:uid="{AB5FE2E0-A9A1-4640-B249-0F2EDFDA6AD6}">
      <formula1>43466</formula1>
    </dataValidation>
    <dataValidation allowBlank="1" showInputMessage="1" showErrorMessage="1" promptTitle="R + Chrono" prompt="Saisir R + un n° d'incrément pour le risque" sqref="A10:A38" xr:uid="{646D9B8A-B7F8-4397-9297-F881FD496E41}"/>
    <dataValidation type="date" errorStyle="warning" operator="greaterThan" allowBlank="1" showInputMessage="1" showErrorMessage="1" errorTitle="Format incorrect" error="La valeur saisie doit être une date valide" promptTitle="Saisir une date" prompt="Format JJ/MM/AA ou JJ/MM/AAAA" sqref="N10:N38" xr:uid="{A09012A3-3C7D-4062-A716-FF82EBB2E6D5}">
      <formula1>44562</formula1>
    </dataValidation>
    <dataValidation type="date" errorStyle="warning" operator="greaterThan" allowBlank="1" showInputMessage="1" showErrorMessage="1" errorTitle="Format de saisie invalide" error="La valeur saisie doit être une date valide" promptTitle="Saisir une date " prompt="Format JJ/MM/AA ou JJ/MM/AAAA" sqref="P10:P38" xr:uid="{9272AE63-D8EE-47B0-9527-27B84C19CE19}">
      <formula1>44562</formula1>
    </dataValidation>
    <dataValidation type="list" allowBlank="1" showInputMessage="1" showErrorMessage="1" sqref="C4" xr:uid="{C162F7E6-0AD7-4556-B4A2-FD7C3023A92B}">
      <formula1>"MyLog, MySystem, MVP, FMS ID, MyWork, Support transverse"</formula1>
    </dataValidation>
    <dataValidation type="list" allowBlank="1" showInputMessage="1" showErrorMessage="1" sqref="H39:J41" xr:uid="{B184DB61-D0B8-415B-8145-36D39006F223}">
      <formula1>"Mineur,Modéré,Critique"</formula1>
    </dataValidation>
    <dataValidation type="list" allowBlank="1" showInputMessage="1" showErrorMessage="1" sqref="D10:D38" xr:uid="{CC672104-A86C-45F5-B399-27AAD29937B3}">
      <formula1>"Oui,Non"</formula1>
    </dataValidation>
    <dataValidation type="list" allowBlank="1" showInputMessage="1" showErrorMessage="1" sqref="F10:F38" xr:uid="{04E92CAE-FABD-45A7-B8D7-7DA3FADEFD15}">
      <formula1>Catégories</formula1>
    </dataValidation>
    <dataValidation type="list" allowBlank="1" showInputMessage="1" showErrorMessage="1" sqref="I10:I38" xr:uid="{A0CD5E4A-8472-4CFD-966B-31088E1AAC21}">
      <formula1>$T$10:$T$13</formula1>
    </dataValidation>
  </dataValidations>
  <hyperlinks>
    <hyperlink ref="I9" location="'Guide utilisateur'!D41" display="Probabilité / Occurrence" xr:uid="{1984B25C-0EF5-4CAF-9E39-0E57C35904B8}"/>
    <hyperlink ref="J9" location="'Guide utilisateur'!D48" display="Gravité" xr:uid="{8A9E7475-C748-40A1-AD0B-F229D32D9C02}"/>
    <hyperlink ref="Q9" location="'Guide utilisateur'!C55" display="Efficacité action (en %)" xr:uid="{B753AB6A-5D28-4960-8886-C253D03ED8F4}"/>
  </hyperlinks>
  <pageMargins left="0.70866141732283472" right="0.70866141732283472" top="0.94488188976377963" bottom="0.74803149606299213" header="0.31496062992125984" footer="0.31496062992125984"/>
  <pageSetup paperSize="9" scale="36" orientation="landscape" r:id="rId1"/>
  <headerFooter>
    <oddHeader xml:space="preserve">&amp;L&amp;G&amp;CMatrices de pilotage des risques&amp;REnregistrement 
Réf. :ENR-QUA-10 
Indice :3,0
Confidentialité : Restreint   </oddHeader>
  </headerFooter>
  <legacyDrawing r:id="rId2"/>
  <legacyDrawingHF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6BBB-6887-4C2D-B2F0-18E332FC7ECA}">
  <sheetPr>
    <tabColor theme="5" tint="0.39997558519241921"/>
  </sheetPr>
  <dimension ref="A1:AL52"/>
  <sheetViews>
    <sheetView showGridLines="0" topLeftCell="A8" zoomScale="50" zoomScaleNormal="50" zoomScaleSheetLayoutView="40" workbookViewId="0">
      <selection activeCell="K13" sqref="K13"/>
    </sheetView>
  </sheetViews>
  <sheetFormatPr defaultColWidth="9.140625" defaultRowHeight="12.75" outlineLevelRow="1" x14ac:dyDescent="0.2"/>
  <cols>
    <col min="1" max="1" width="4.42578125" style="2" customWidth="1"/>
    <col min="2" max="2" width="9.140625" style="2"/>
    <col min="3" max="3" width="16.140625" style="2" customWidth="1"/>
    <col min="4" max="4" width="28" style="2" customWidth="1"/>
    <col min="5" max="5" width="13.5703125" style="2" customWidth="1"/>
    <col min="6" max="6" width="28" style="2" customWidth="1"/>
    <col min="7" max="7" width="25" style="2" customWidth="1"/>
    <col min="8" max="8" width="10" style="2" customWidth="1"/>
    <col min="9" max="9" width="26.42578125" style="2" customWidth="1"/>
    <col min="10" max="10" width="10" style="2" customWidth="1"/>
    <col min="11" max="11" width="33" style="2" customWidth="1"/>
    <col min="12" max="12" width="8.140625" style="2" customWidth="1"/>
    <col min="13" max="14" width="7" style="2" customWidth="1"/>
    <col min="15" max="15" width="38.7109375" style="2" customWidth="1"/>
    <col min="16" max="17" width="16.140625" style="2" customWidth="1"/>
    <col min="18" max="20" width="5.85546875" style="2" customWidth="1"/>
    <col min="21" max="21" width="4.28515625" style="2" customWidth="1"/>
    <col min="22" max="22" width="10" style="2" customWidth="1"/>
    <col min="23" max="23" width="42.85546875" style="2" customWidth="1"/>
    <col min="24" max="26" width="5.85546875" style="2" customWidth="1"/>
    <col min="27" max="27" width="4.28515625" style="2" customWidth="1"/>
    <col min="28" max="28" width="10" style="2" customWidth="1"/>
    <col min="29" max="30" width="10.140625" style="2" bestFit="1" customWidth="1"/>
    <col min="31" max="31" width="67" style="2" customWidth="1"/>
    <col min="32" max="32" width="0" style="2" hidden="1" customWidth="1"/>
    <col min="33" max="16384" width="9.140625" style="2"/>
  </cols>
  <sheetData>
    <row r="1" spans="1:38" ht="19.5" customHeight="1" x14ac:dyDescent="0.2">
      <c r="S1" s="6"/>
      <c r="Y1" s="6"/>
      <c r="Z1" s="518" t="str">
        <f>"0 - "&amp;AE1</f>
        <v>0 - 249</v>
      </c>
      <c r="AA1" s="518"/>
      <c r="AB1" s="518" t="s">
        <v>76</v>
      </c>
      <c r="AC1" s="518"/>
      <c r="AD1" s="518"/>
      <c r="AE1" s="3">
        <v>249</v>
      </c>
      <c r="AF1" s="2">
        <v>1</v>
      </c>
    </row>
    <row r="2" spans="1:38" ht="46.5" customHeight="1" x14ac:dyDescent="0.2">
      <c r="B2" s="171" t="s">
        <v>272</v>
      </c>
      <c r="I2" s="2" t="s">
        <v>273</v>
      </c>
      <c r="S2" s="6"/>
      <c r="Y2" s="6"/>
      <c r="Z2" s="519" t="str">
        <f>(AE1+1)&amp;" - "&amp;AE2</f>
        <v>250 - 499</v>
      </c>
      <c r="AA2" s="519"/>
      <c r="AB2" s="519" t="s">
        <v>77</v>
      </c>
      <c r="AC2" s="519"/>
      <c r="AD2" s="519"/>
      <c r="AE2" s="3">
        <v>499</v>
      </c>
      <c r="AF2" s="2">
        <v>2</v>
      </c>
    </row>
    <row r="3" spans="1:38" ht="26.25" customHeight="1" x14ac:dyDescent="0.2">
      <c r="S3" s="6"/>
      <c r="Y3" s="6"/>
      <c r="Z3" s="207"/>
      <c r="AA3" s="207"/>
      <c r="AB3" s="207"/>
      <c r="AC3" s="207"/>
      <c r="AD3" s="207"/>
      <c r="AE3" s="3"/>
    </row>
    <row r="4" spans="1:38" ht="25.5" customHeight="1" x14ac:dyDescent="0.35">
      <c r="B4" s="483" t="s">
        <v>274</v>
      </c>
      <c r="C4" s="274"/>
      <c r="D4" s="275" t="s">
        <v>275</v>
      </c>
      <c r="E4" s="276"/>
      <c r="F4" s="276"/>
      <c r="G4" s="277"/>
      <c r="H4" s="160"/>
      <c r="I4" s="160"/>
      <c r="J4" s="160"/>
      <c r="K4" s="160"/>
      <c r="L4" s="160"/>
      <c r="M4" s="160"/>
      <c r="N4" s="160"/>
      <c r="O4" s="160"/>
      <c r="P4" s="160"/>
      <c r="Q4" s="278"/>
      <c r="R4" s="278"/>
      <c r="S4" s="279"/>
      <c r="T4" s="278"/>
      <c r="U4" s="278"/>
      <c r="V4" s="278"/>
      <c r="W4" s="278"/>
      <c r="X4" s="278"/>
      <c r="Y4" s="279"/>
      <c r="Z4" s="520" t="str">
        <f>(AE2+1)&amp;" - "&amp;AE4</f>
        <v>500 - 749</v>
      </c>
      <c r="AA4" s="520"/>
      <c r="AB4" s="520" t="s">
        <v>78</v>
      </c>
      <c r="AC4" s="520"/>
      <c r="AD4" s="520"/>
      <c r="AE4" s="280">
        <v>749</v>
      </c>
      <c r="AF4" s="2">
        <v>3</v>
      </c>
    </row>
    <row r="5" spans="1:38" ht="32.25" customHeight="1" x14ac:dyDescent="0.35">
      <c r="B5" s="484"/>
      <c r="C5" s="281"/>
      <c r="D5" s="282" t="s">
        <v>276</v>
      </c>
      <c r="E5" s="283"/>
      <c r="F5" s="275" t="s">
        <v>277</v>
      </c>
      <c r="G5" s="284"/>
      <c r="H5" s="160"/>
      <c r="I5" s="160"/>
      <c r="J5" s="160"/>
      <c r="K5" s="160"/>
      <c r="L5" s="160"/>
      <c r="M5" s="160"/>
      <c r="N5" s="160"/>
      <c r="O5" s="160"/>
      <c r="P5" s="160"/>
      <c r="Q5" s="285"/>
      <c r="R5" s="285"/>
      <c r="S5" s="279"/>
      <c r="T5" s="285"/>
      <c r="U5" s="285"/>
      <c r="V5" s="285"/>
      <c r="W5" s="285"/>
      <c r="X5" s="285"/>
      <c r="Y5" s="279"/>
      <c r="Z5" s="495" t="str">
        <f>(AE4+1)&amp;" - "&amp;AE5</f>
        <v>750 - 1000</v>
      </c>
      <c r="AA5" s="495"/>
      <c r="AB5" s="495" t="s">
        <v>79</v>
      </c>
      <c r="AC5" s="495"/>
      <c r="AD5" s="495"/>
      <c r="AE5" s="280">
        <v>1000</v>
      </c>
      <c r="AF5" s="2">
        <v>4</v>
      </c>
    </row>
    <row r="6" spans="1:38" ht="15.75" customHeight="1" thickBot="1" x14ac:dyDescent="0.4">
      <c r="B6" s="160"/>
      <c r="C6" s="286"/>
      <c r="D6" s="286"/>
      <c r="E6" s="287"/>
      <c r="F6" s="286"/>
      <c r="G6" s="288"/>
      <c r="H6" s="288"/>
      <c r="I6" s="288"/>
      <c r="J6" s="160"/>
      <c r="K6" s="289"/>
      <c r="L6" s="287"/>
      <c r="M6" s="287"/>
      <c r="N6" s="287"/>
      <c r="O6" s="278"/>
      <c r="P6" s="285"/>
      <c r="Q6" s="285"/>
      <c r="R6" s="285"/>
      <c r="S6" s="279"/>
      <c r="T6" s="290"/>
      <c r="U6" s="290"/>
      <c r="V6" s="290"/>
      <c r="W6" s="285"/>
      <c r="X6" s="285"/>
      <c r="Y6" s="279"/>
      <c r="Z6" s="290"/>
      <c r="AA6" s="290"/>
      <c r="AB6" s="290"/>
      <c r="AC6" s="290"/>
      <c r="AD6" s="290"/>
      <c r="AE6" s="285"/>
      <c r="AF6" s="2">
        <v>5</v>
      </c>
    </row>
    <row r="7" spans="1:38" s="362" customFormat="1" ht="20.25" customHeight="1" thickBot="1" x14ac:dyDescent="0.3">
      <c r="B7" s="363" t="s">
        <v>278</v>
      </c>
      <c r="C7" s="364"/>
      <c r="D7" s="364"/>
      <c r="E7" s="291"/>
      <c r="F7" s="365"/>
      <c r="G7" s="366" t="s">
        <v>279</v>
      </c>
      <c r="H7" s="367"/>
      <c r="I7" s="368" t="s">
        <v>280</v>
      </c>
      <c r="J7" s="369"/>
      <c r="K7" s="370" t="s">
        <v>281</v>
      </c>
      <c r="L7" s="371"/>
      <c r="M7" s="292" t="s">
        <v>71</v>
      </c>
      <c r="N7" s="293"/>
      <c r="O7" s="294" t="s">
        <v>282</v>
      </c>
      <c r="P7" s="295"/>
      <c r="Q7" s="295"/>
      <c r="R7" s="296" t="s">
        <v>283</v>
      </c>
      <c r="S7" s="291"/>
      <c r="T7" s="291"/>
      <c r="U7" s="291"/>
      <c r="V7" s="297"/>
      <c r="W7" s="298"/>
      <c r="X7" s="296" t="s">
        <v>284</v>
      </c>
      <c r="Y7" s="291"/>
      <c r="Z7" s="291"/>
      <c r="AA7" s="291"/>
      <c r="AB7" s="297"/>
      <c r="AC7" s="496" t="s">
        <v>285</v>
      </c>
      <c r="AD7" s="497"/>
      <c r="AE7" s="298"/>
      <c r="AF7" s="372">
        <v>6</v>
      </c>
    </row>
    <row r="8" spans="1:38" s="149" customFormat="1" ht="54" customHeight="1" thickBot="1" x14ac:dyDescent="0.25">
      <c r="A8" s="29"/>
      <c r="B8" s="299" t="s">
        <v>286</v>
      </c>
      <c r="C8" s="300" t="s">
        <v>287</v>
      </c>
      <c r="D8" s="301" t="s">
        <v>288</v>
      </c>
      <c r="E8" s="302" t="s">
        <v>289</v>
      </c>
      <c r="F8" s="303" t="s">
        <v>290</v>
      </c>
      <c r="G8" s="304" t="s">
        <v>291</v>
      </c>
      <c r="H8" s="303" t="s">
        <v>292</v>
      </c>
      <c r="I8" s="304" t="s">
        <v>293</v>
      </c>
      <c r="J8" s="303" t="s">
        <v>294</v>
      </c>
      <c r="K8" s="304" t="s">
        <v>295</v>
      </c>
      <c r="L8" s="303" t="s">
        <v>296</v>
      </c>
      <c r="M8" s="305" t="s">
        <v>297</v>
      </c>
      <c r="N8" s="306" t="s">
        <v>298</v>
      </c>
      <c r="O8" s="300" t="s">
        <v>299</v>
      </c>
      <c r="P8" s="302" t="s">
        <v>300</v>
      </c>
      <c r="Q8" s="302" t="s">
        <v>301</v>
      </c>
      <c r="R8" s="307" t="s">
        <v>292</v>
      </c>
      <c r="S8" s="308" t="s">
        <v>294</v>
      </c>
      <c r="T8" s="306" t="s">
        <v>296</v>
      </c>
      <c r="U8" s="307" t="s">
        <v>297</v>
      </c>
      <c r="V8" s="309" t="s">
        <v>298</v>
      </c>
      <c r="W8" s="303" t="s">
        <v>302</v>
      </c>
      <c r="X8" s="307" t="s">
        <v>292</v>
      </c>
      <c r="Y8" s="308" t="s">
        <v>294</v>
      </c>
      <c r="Z8" s="306" t="s">
        <v>296</v>
      </c>
      <c r="AA8" s="307" t="s">
        <v>297</v>
      </c>
      <c r="AB8" s="309" t="s">
        <v>298</v>
      </c>
      <c r="AC8" s="300" t="s">
        <v>303</v>
      </c>
      <c r="AD8" s="303" t="s">
        <v>304</v>
      </c>
      <c r="AE8" s="303" t="s">
        <v>198</v>
      </c>
      <c r="AF8" s="149">
        <v>7</v>
      </c>
    </row>
    <row r="9" spans="1:38" s="60" customFormat="1" ht="115.5" outlineLevel="1" x14ac:dyDescent="0.2">
      <c r="B9" s="498"/>
      <c r="C9" s="500" t="s">
        <v>305</v>
      </c>
      <c r="D9" s="502" t="s">
        <v>306</v>
      </c>
      <c r="E9" s="504" t="s">
        <v>307</v>
      </c>
      <c r="F9" s="506" t="s">
        <v>308</v>
      </c>
      <c r="G9" s="508" t="s">
        <v>309</v>
      </c>
      <c r="H9" s="310" t="s">
        <v>310</v>
      </c>
      <c r="I9" s="510" t="s">
        <v>311</v>
      </c>
      <c r="J9" s="311" t="s">
        <v>312</v>
      </c>
      <c r="K9" s="493" t="s">
        <v>313</v>
      </c>
      <c r="L9" s="312" t="s">
        <v>314</v>
      </c>
      <c r="M9" s="487" t="s">
        <v>315</v>
      </c>
      <c r="N9" s="489" t="s">
        <v>316</v>
      </c>
      <c r="O9" s="512" t="s">
        <v>317</v>
      </c>
      <c r="P9" s="504" t="s">
        <v>318</v>
      </c>
      <c r="Q9" s="514" t="s">
        <v>319</v>
      </c>
      <c r="R9" s="485" t="s">
        <v>310</v>
      </c>
      <c r="S9" s="487" t="s">
        <v>312</v>
      </c>
      <c r="T9" s="489" t="s">
        <v>314</v>
      </c>
      <c r="U9" s="485" t="s">
        <v>315</v>
      </c>
      <c r="V9" s="491"/>
      <c r="W9" s="481" t="s">
        <v>320</v>
      </c>
      <c r="X9" s="485" t="s">
        <v>310</v>
      </c>
      <c r="Y9" s="487" t="s">
        <v>312</v>
      </c>
      <c r="Z9" s="489" t="s">
        <v>314</v>
      </c>
      <c r="AA9" s="485" t="s">
        <v>315</v>
      </c>
      <c r="AB9" s="491"/>
      <c r="AC9" s="485" t="s">
        <v>303</v>
      </c>
      <c r="AD9" s="516" t="s">
        <v>321</v>
      </c>
      <c r="AE9" s="481"/>
      <c r="AF9" s="2">
        <v>8</v>
      </c>
      <c r="AG9" s="2"/>
      <c r="AH9" s="2"/>
      <c r="AI9" s="2"/>
      <c r="AJ9" s="2"/>
    </row>
    <row r="10" spans="1:38" s="60" customFormat="1" ht="83.25" outlineLevel="1" thickBot="1" x14ac:dyDescent="0.25">
      <c r="B10" s="499"/>
      <c r="C10" s="501"/>
      <c r="D10" s="503"/>
      <c r="E10" s="505"/>
      <c r="F10" s="507"/>
      <c r="G10" s="509"/>
      <c r="H10" s="313" t="s">
        <v>322</v>
      </c>
      <c r="I10" s="511"/>
      <c r="J10" s="313" t="s">
        <v>322</v>
      </c>
      <c r="K10" s="494"/>
      <c r="L10" s="313" t="s">
        <v>322</v>
      </c>
      <c r="M10" s="488"/>
      <c r="N10" s="490"/>
      <c r="O10" s="513"/>
      <c r="P10" s="505"/>
      <c r="Q10" s="515"/>
      <c r="R10" s="486"/>
      <c r="S10" s="488"/>
      <c r="T10" s="490"/>
      <c r="U10" s="486"/>
      <c r="V10" s="492"/>
      <c r="W10" s="482"/>
      <c r="X10" s="486"/>
      <c r="Y10" s="488"/>
      <c r="Z10" s="490"/>
      <c r="AA10" s="486"/>
      <c r="AB10" s="492"/>
      <c r="AC10" s="486"/>
      <c r="AD10" s="517"/>
      <c r="AE10" s="482"/>
      <c r="AF10" s="2">
        <v>9</v>
      </c>
      <c r="AG10" s="2"/>
      <c r="AH10" s="2"/>
      <c r="AI10" s="2"/>
      <c r="AJ10" s="2"/>
    </row>
    <row r="11" spans="1:38" s="4" customFormat="1" ht="33" x14ac:dyDescent="0.2">
      <c r="B11" s="314">
        <v>1</v>
      </c>
      <c r="C11" s="315" t="s">
        <v>323</v>
      </c>
      <c r="D11" s="316" t="s">
        <v>247</v>
      </c>
      <c r="E11" s="317">
        <v>46070</v>
      </c>
      <c r="F11" s="318" t="s">
        <v>324</v>
      </c>
      <c r="G11" s="319" t="s">
        <v>325</v>
      </c>
      <c r="H11" s="320">
        <v>6</v>
      </c>
      <c r="I11" s="321" t="s">
        <v>326</v>
      </c>
      <c r="J11" s="322">
        <v>5</v>
      </c>
      <c r="K11" s="323" t="s">
        <v>327</v>
      </c>
      <c r="L11" s="324">
        <v>2</v>
      </c>
      <c r="M11" s="325">
        <f t="shared" ref="M11:M35" si="0">IF(H11+J11=0," ",H11*J11)</f>
        <v>30</v>
      </c>
      <c r="N11" s="326">
        <f t="shared" ref="N11:N38" si="1">IF(H11+J11+L11=0,"-",H11*J11*L11)</f>
        <v>60</v>
      </c>
      <c r="O11" s="315" t="s">
        <v>328</v>
      </c>
      <c r="P11" s="327" t="s">
        <v>248</v>
      </c>
      <c r="Q11" s="328"/>
      <c r="R11" s="329">
        <v>1</v>
      </c>
      <c r="S11" s="330">
        <v>5</v>
      </c>
      <c r="T11" s="331">
        <v>5</v>
      </c>
      <c r="U11" s="332">
        <f t="shared" ref="U11:U38" si="2">IF(R11+S11=0," ",R11*S11)</f>
        <v>5</v>
      </c>
      <c r="V11" s="326">
        <f t="shared" ref="V11:V38" si="3">IF(R11+S11+T11=0,"-",R11*S11*T11)</f>
        <v>25</v>
      </c>
      <c r="W11" s="333"/>
      <c r="X11" s="329"/>
      <c r="Y11" s="330"/>
      <c r="Z11" s="331"/>
      <c r="AA11" s="332" t="str">
        <f t="shared" ref="AA11:AA38" si="4">IF(X11+Y11=0," ",X11*Y11)</f>
        <v xml:space="preserve"> </v>
      </c>
      <c r="AB11" s="326" t="str">
        <f t="shared" ref="AB11:AB38" si="5">IF(X11+Y11+Z11=0,"-",X11*Y11*Z11)</f>
        <v>-</v>
      </c>
      <c r="AC11" s="332" t="str">
        <f t="shared" ref="AC11:AC38" si="6">IF(AB11="-",AD11,IF(AB11&gt;$AE$4,"Very High",IF(AB11&gt;$AE$2,"High",IF(AB11&gt;$AE$1,"Medium",IF(AB11&gt;0,"Low","")))))</f>
        <v>Low</v>
      </c>
      <c r="AD11" s="326" t="str">
        <f t="shared" ref="AD11:AD38" si="7">IF(N11="-","-",IF(N11&gt;$AE$4,"Very High",IF(N11&gt;$AE$2,"High",IF(N11&gt;$AE$1,"Medium",IF(N11&gt;0,"Low","")))))</f>
        <v>Low</v>
      </c>
      <c r="AE11" s="333"/>
      <c r="AF11" s="2">
        <v>10</v>
      </c>
      <c r="AL11" s="81"/>
    </row>
    <row r="12" spans="1:38" s="4" customFormat="1" ht="33" x14ac:dyDescent="0.25">
      <c r="B12" s="314">
        <v>2</v>
      </c>
      <c r="C12" s="315" t="s">
        <v>323</v>
      </c>
      <c r="D12" s="316" t="s">
        <v>329</v>
      </c>
      <c r="E12" s="317">
        <v>46070</v>
      </c>
      <c r="F12" s="318" t="s">
        <v>250</v>
      </c>
      <c r="G12" s="319" t="s">
        <v>330</v>
      </c>
      <c r="H12" s="320">
        <v>9</v>
      </c>
      <c r="I12" s="334" t="s">
        <v>331</v>
      </c>
      <c r="J12" s="322">
        <v>2</v>
      </c>
      <c r="K12" s="323" t="s">
        <v>251</v>
      </c>
      <c r="L12" s="324">
        <v>5</v>
      </c>
      <c r="M12" s="325">
        <f t="shared" si="0"/>
        <v>18</v>
      </c>
      <c r="N12" s="326">
        <f t="shared" si="1"/>
        <v>90</v>
      </c>
      <c r="O12" s="315" t="s">
        <v>332</v>
      </c>
      <c r="P12" s="327" t="s">
        <v>252</v>
      </c>
      <c r="Q12" s="328"/>
      <c r="R12" s="329">
        <v>9</v>
      </c>
      <c r="S12" s="330">
        <v>2</v>
      </c>
      <c r="T12" s="331">
        <v>5</v>
      </c>
      <c r="U12" s="332">
        <f t="shared" si="2"/>
        <v>18</v>
      </c>
      <c r="V12" s="326">
        <f t="shared" si="3"/>
        <v>90</v>
      </c>
      <c r="W12" s="333"/>
      <c r="X12" s="329"/>
      <c r="Y12" s="330"/>
      <c r="Z12" s="331"/>
      <c r="AA12" s="332" t="str">
        <f t="shared" si="4"/>
        <v xml:space="preserve"> </v>
      </c>
      <c r="AB12" s="326" t="str">
        <f t="shared" si="5"/>
        <v>-</v>
      </c>
      <c r="AC12" s="332" t="str">
        <f t="shared" si="6"/>
        <v>Low</v>
      </c>
      <c r="AD12" s="326" t="str">
        <f t="shared" si="7"/>
        <v>Low</v>
      </c>
      <c r="AE12" s="333"/>
      <c r="AL12" s="81"/>
    </row>
    <row r="13" spans="1:38" s="4" customFormat="1" ht="33" x14ac:dyDescent="0.25">
      <c r="B13" s="314">
        <v>3</v>
      </c>
      <c r="C13" s="315" t="s">
        <v>323</v>
      </c>
      <c r="D13" s="335" t="s">
        <v>255</v>
      </c>
      <c r="E13" s="317">
        <v>46070</v>
      </c>
      <c r="F13" s="318" t="s">
        <v>333</v>
      </c>
      <c r="G13" s="319" t="s">
        <v>334</v>
      </c>
      <c r="H13" s="320">
        <v>10</v>
      </c>
      <c r="I13" s="334" t="s">
        <v>335</v>
      </c>
      <c r="J13" s="322">
        <v>2</v>
      </c>
      <c r="K13" s="323" t="s">
        <v>256</v>
      </c>
      <c r="L13" s="324">
        <v>4</v>
      </c>
      <c r="M13" s="325">
        <f>IF(H13+J13=0," ",H13*J13)</f>
        <v>20</v>
      </c>
      <c r="N13" s="326">
        <f t="shared" si="1"/>
        <v>80</v>
      </c>
      <c r="O13" s="315" t="s">
        <v>336</v>
      </c>
      <c r="P13" s="327" t="s">
        <v>257</v>
      </c>
      <c r="Q13" s="328"/>
      <c r="R13" s="329">
        <v>8</v>
      </c>
      <c r="S13" s="330">
        <v>2</v>
      </c>
      <c r="T13" s="331">
        <v>3</v>
      </c>
      <c r="U13" s="332">
        <f t="shared" si="2"/>
        <v>16</v>
      </c>
      <c r="V13" s="326">
        <f t="shared" si="3"/>
        <v>48</v>
      </c>
      <c r="W13" s="333"/>
      <c r="X13" s="329"/>
      <c r="Y13" s="330"/>
      <c r="Z13" s="331"/>
      <c r="AA13" s="332" t="str">
        <f t="shared" si="4"/>
        <v xml:space="preserve"> </v>
      </c>
      <c r="AB13" s="326" t="str">
        <f t="shared" si="5"/>
        <v>-</v>
      </c>
      <c r="AC13" s="332" t="str">
        <f t="shared" si="6"/>
        <v>Low</v>
      </c>
      <c r="AD13" s="326" t="str">
        <f t="shared" si="7"/>
        <v>Low</v>
      </c>
      <c r="AE13" s="333"/>
      <c r="AL13" s="81"/>
    </row>
    <row r="14" spans="1:38" s="4" customFormat="1" ht="16.5" x14ac:dyDescent="0.25">
      <c r="B14" s="314"/>
      <c r="C14" s="315"/>
      <c r="D14" s="335"/>
      <c r="E14" s="317"/>
      <c r="F14" s="318"/>
      <c r="G14" s="319"/>
      <c r="H14" s="320"/>
      <c r="I14" s="334"/>
      <c r="J14" s="322"/>
      <c r="K14" s="323"/>
      <c r="L14" s="324"/>
      <c r="M14" s="325" t="str">
        <f t="shared" si="0"/>
        <v xml:space="preserve"> </v>
      </c>
      <c r="N14" s="326" t="str">
        <f t="shared" si="1"/>
        <v>-</v>
      </c>
      <c r="O14" s="315"/>
      <c r="P14" s="327"/>
      <c r="Q14" s="328"/>
      <c r="R14" s="329"/>
      <c r="S14" s="330"/>
      <c r="T14" s="331"/>
      <c r="U14" s="332" t="str">
        <f t="shared" si="2"/>
        <v xml:space="preserve"> </v>
      </c>
      <c r="V14" s="326" t="str">
        <f t="shared" si="3"/>
        <v>-</v>
      </c>
      <c r="W14" s="333"/>
      <c r="X14" s="329"/>
      <c r="Y14" s="330"/>
      <c r="Z14" s="331"/>
      <c r="AA14" s="332" t="str">
        <f t="shared" si="4"/>
        <v xml:space="preserve"> </v>
      </c>
      <c r="AB14" s="326" t="str">
        <f t="shared" si="5"/>
        <v>-</v>
      </c>
      <c r="AC14" s="332" t="str">
        <f t="shared" si="6"/>
        <v>-</v>
      </c>
      <c r="AD14" s="326" t="str">
        <f t="shared" si="7"/>
        <v>-</v>
      </c>
      <c r="AE14" s="333"/>
      <c r="AL14" s="81"/>
    </row>
    <row r="15" spans="1:38" s="4" customFormat="1" ht="16.5" x14ac:dyDescent="0.25">
      <c r="B15" s="314"/>
      <c r="C15" s="315"/>
      <c r="D15" s="335"/>
      <c r="E15" s="317"/>
      <c r="F15" s="318"/>
      <c r="G15" s="319"/>
      <c r="H15" s="320"/>
      <c r="I15" s="321"/>
      <c r="J15" s="322"/>
      <c r="K15" s="323"/>
      <c r="L15" s="324"/>
      <c r="M15" s="325" t="str">
        <f t="shared" si="0"/>
        <v xml:space="preserve"> </v>
      </c>
      <c r="N15" s="326" t="str">
        <f t="shared" si="1"/>
        <v>-</v>
      </c>
      <c r="O15" s="315"/>
      <c r="P15" s="327"/>
      <c r="Q15" s="328"/>
      <c r="R15" s="329"/>
      <c r="S15" s="330"/>
      <c r="T15" s="331"/>
      <c r="U15" s="332" t="str">
        <f t="shared" si="2"/>
        <v xml:space="preserve"> </v>
      </c>
      <c r="V15" s="326" t="str">
        <f t="shared" si="3"/>
        <v>-</v>
      </c>
      <c r="W15" s="333"/>
      <c r="X15" s="329"/>
      <c r="Y15" s="330"/>
      <c r="Z15" s="331"/>
      <c r="AA15" s="332" t="str">
        <f t="shared" si="4"/>
        <v xml:space="preserve"> </v>
      </c>
      <c r="AB15" s="326" t="str">
        <f t="shared" si="5"/>
        <v>-</v>
      </c>
      <c r="AC15" s="332" t="str">
        <f t="shared" si="6"/>
        <v>-</v>
      </c>
      <c r="AD15" s="326" t="str">
        <f t="shared" si="7"/>
        <v>-</v>
      </c>
      <c r="AE15" s="333"/>
      <c r="AL15" s="81"/>
    </row>
    <row r="16" spans="1:38" s="4" customFormat="1" ht="16.5" x14ac:dyDescent="0.25">
      <c r="B16" s="314"/>
      <c r="C16" s="315"/>
      <c r="D16" s="335"/>
      <c r="E16" s="317"/>
      <c r="F16" s="318"/>
      <c r="G16" s="319"/>
      <c r="H16" s="320"/>
      <c r="I16" s="321"/>
      <c r="J16" s="322"/>
      <c r="K16" s="323"/>
      <c r="L16" s="324"/>
      <c r="M16" s="325" t="str">
        <f t="shared" si="0"/>
        <v xml:space="preserve"> </v>
      </c>
      <c r="N16" s="326" t="str">
        <f t="shared" si="1"/>
        <v>-</v>
      </c>
      <c r="O16" s="315"/>
      <c r="P16" s="327"/>
      <c r="Q16" s="328"/>
      <c r="R16" s="329"/>
      <c r="S16" s="330"/>
      <c r="T16" s="331"/>
      <c r="U16" s="332" t="str">
        <f t="shared" si="2"/>
        <v xml:space="preserve"> </v>
      </c>
      <c r="V16" s="326" t="str">
        <f t="shared" si="3"/>
        <v>-</v>
      </c>
      <c r="W16" s="333"/>
      <c r="X16" s="329"/>
      <c r="Y16" s="330"/>
      <c r="Z16" s="331"/>
      <c r="AA16" s="332" t="str">
        <f t="shared" si="4"/>
        <v xml:space="preserve"> </v>
      </c>
      <c r="AB16" s="326" t="str">
        <f t="shared" si="5"/>
        <v>-</v>
      </c>
      <c r="AC16" s="332" t="str">
        <f t="shared" si="6"/>
        <v>-</v>
      </c>
      <c r="AD16" s="326" t="str">
        <f t="shared" si="7"/>
        <v>-</v>
      </c>
      <c r="AE16" s="333"/>
      <c r="AL16" s="81"/>
    </row>
    <row r="17" spans="2:38" s="4" customFormat="1" ht="16.5" x14ac:dyDescent="0.25">
      <c r="B17" s="314"/>
      <c r="C17" s="315"/>
      <c r="D17" s="335"/>
      <c r="E17" s="317"/>
      <c r="F17" s="318"/>
      <c r="G17" s="319"/>
      <c r="H17" s="320"/>
      <c r="I17" s="321"/>
      <c r="J17" s="322"/>
      <c r="K17" s="323"/>
      <c r="L17" s="324"/>
      <c r="M17" s="325" t="str">
        <f t="shared" si="0"/>
        <v xml:space="preserve"> </v>
      </c>
      <c r="N17" s="326" t="str">
        <f t="shared" si="1"/>
        <v>-</v>
      </c>
      <c r="O17" s="315"/>
      <c r="P17" s="327"/>
      <c r="Q17" s="328"/>
      <c r="R17" s="329"/>
      <c r="S17" s="330"/>
      <c r="T17" s="331"/>
      <c r="U17" s="332" t="str">
        <f t="shared" si="2"/>
        <v xml:space="preserve"> </v>
      </c>
      <c r="V17" s="326" t="str">
        <f t="shared" si="3"/>
        <v>-</v>
      </c>
      <c r="W17" s="333"/>
      <c r="X17" s="329"/>
      <c r="Y17" s="330"/>
      <c r="Z17" s="331"/>
      <c r="AA17" s="332" t="str">
        <f t="shared" si="4"/>
        <v xml:space="preserve"> </v>
      </c>
      <c r="AB17" s="326" t="str">
        <f t="shared" si="5"/>
        <v>-</v>
      </c>
      <c r="AC17" s="332" t="str">
        <f t="shared" si="6"/>
        <v>-</v>
      </c>
      <c r="AD17" s="326" t="str">
        <f t="shared" si="7"/>
        <v>-</v>
      </c>
      <c r="AE17" s="333"/>
      <c r="AL17" s="81"/>
    </row>
    <row r="18" spans="2:38" s="4" customFormat="1" ht="16.5" x14ac:dyDescent="0.25">
      <c r="B18" s="314"/>
      <c r="C18" s="315"/>
      <c r="D18" s="335"/>
      <c r="E18" s="317"/>
      <c r="F18" s="318"/>
      <c r="G18" s="319"/>
      <c r="H18" s="320"/>
      <c r="I18" s="321"/>
      <c r="J18" s="322"/>
      <c r="K18" s="336"/>
      <c r="L18" s="324"/>
      <c r="M18" s="325" t="str">
        <f t="shared" si="0"/>
        <v xml:space="preserve"> </v>
      </c>
      <c r="N18" s="326" t="str">
        <f t="shared" si="1"/>
        <v>-</v>
      </c>
      <c r="O18" s="315"/>
      <c r="P18" s="327"/>
      <c r="Q18" s="328"/>
      <c r="R18" s="329"/>
      <c r="S18" s="330"/>
      <c r="T18" s="331"/>
      <c r="U18" s="332" t="str">
        <f t="shared" si="2"/>
        <v xml:space="preserve"> </v>
      </c>
      <c r="V18" s="326" t="str">
        <f t="shared" si="3"/>
        <v>-</v>
      </c>
      <c r="W18" s="333"/>
      <c r="X18" s="329"/>
      <c r="Y18" s="330"/>
      <c r="Z18" s="331"/>
      <c r="AA18" s="332" t="str">
        <f t="shared" si="4"/>
        <v xml:space="preserve"> </v>
      </c>
      <c r="AB18" s="326" t="str">
        <f t="shared" si="5"/>
        <v>-</v>
      </c>
      <c r="AC18" s="332" t="str">
        <f t="shared" si="6"/>
        <v>-</v>
      </c>
      <c r="AD18" s="326" t="str">
        <f t="shared" si="7"/>
        <v>-</v>
      </c>
      <c r="AE18" s="333"/>
      <c r="AL18" s="81"/>
    </row>
    <row r="19" spans="2:38" s="4" customFormat="1" ht="16.5" x14ac:dyDescent="0.25">
      <c r="B19" s="314"/>
      <c r="C19" s="315"/>
      <c r="D19" s="335"/>
      <c r="E19" s="317"/>
      <c r="F19" s="318"/>
      <c r="G19" s="319"/>
      <c r="H19" s="320"/>
      <c r="I19" s="321"/>
      <c r="J19" s="322"/>
      <c r="K19" s="323"/>
      <c r="L19" s="324"/>
      <c r="M19" s="325" t="str">
        <f t="shared" si="0"/>
        <v xml:space="preserve"> </v>
      </c>
      <c r="N19" s="326" t="str">
        <f t="shared" si="1"/>
        <v>-</v>
      </c>
      <c r="O19" s="315"/>
      <c r="P19" s="327"/>
      <c r="Q19" s="328"/>
      <c r="R19" s="329"/>
      <c r="S19" s="330"/>
      <c r="T19" s="331"/>
      <c r="U19" s="332" t="str">
        <f t="shared" si="2"/>
        <v xml:space="preserve"> </v>
      </c>
      <c r="V19" s="326" t="str">
        <f t="shared" si="3"/>
        <v>-</v>
      </c>
      <c r="W19" s="337"/>
      <c r="X19" s="329"/>
      <c r="Y19" s="330"/>
      <c r="Z19" s="331"/>
      <c r="AA19" s="332" t="str">
        <f t="shared" si="4"/>
        <v xml:space="preserve"> </v>
      </c>
      <c r="AB19" s="326" t="str">
        <f t="shared" si="5"/>
        <v>-</v>
      </c>
      <c r="AC19" s="332" t="str">
        <f t="shared" si="6"/>
        <v>-</v>
      </c>
      <c r="AD19" s="326" t="str">
        <f t="shared" si="7"/>
        <v>-</v>
      </c>
      <c r="AE19" s="337"/>
      <c r="AL19" s="81"/>
    </row>
    <row r="20" spans="2:38" s="4" customFormat="1" ht="16.5" x14ac:dyDescent="0.25">
      <c r="B20" s="314"/>
      <c r="C20" s="315"/>
      <c r="D20" s="335"/>
      <c r="E20" s="317"/>
      <c r="F20" s="318"/>
      <c r="G20" s="319"/>
      <c r="H20" s="320"/>
      <c r="I20" s="334"/>
      <c r="J20" s="322"/>
      <c r="K20" s="323"/>
      <c r="L20" s="324"/>
      <c r="M20" s="325" t="str">
        <f t="shared" si="0"/>
        <v xml:space="preserve"> </v>
      </c>
      <c r="N20" s="326" t="str">
        <f t="shared" si="1"/>
        <v>-</v>
      </c>
      <c r="O20" s="315"/>
      <c r="P20" s="327"/>
      <c r="Q20" s="328"/>
      <c r="R20" s="329"/>
      <c r="S20" s="330"/>
      <c r="T20" s="331"/>
      <c r="U20" s="332" t="str">
        <f t="shared" si="2"/>
        <v xml:space="preserve"> </v>
      </c>
      <c r="V20" s="326" t="str">
        <f t="shared" si="3"/>
        <v>-</v>
      </c>
      <c r="W20" s="333"/>
      <c r="X20" s="329"/>
      <c r="Y20" s="330"/>
      <c r="Z20" s="331"/>
      <c r="AA20" s="332" t="str">
        <f t="shared" si="4"/>
        <v xml:space="preserve"> </v>
      </c>
      <c r="AB20" s="326" t="str">
        <f t="shared" si="5"/>
        <v>-</v>
      </c>
      <c r="AC20" s="332" t="str">
        <f t="shared" si="6"/>
        <v>-</v>
      </c>
      <c r="AD20" s="326" t="str">
        <f t="shared" si="7"/>
        <v>-</v>
      </c>
      <c r="AE20" s="333"/>
      <c r="AL20" s="81"/>
    </row>
    <row r="21" spans="2:38" s="4" customFormat="1" ht="16.5" x14ac:dyDescent="0.25">
      <c r="B21" s="314"/>
      <c r="C21" s="315"/>
      <c r="D21" s="335"/>
      <c r="E21" s="317"/>
      <c r="F21" s="318"/>
      <c r="G21" s="319"/>
      <c r="H21" s="320"/>
      <c r="I21" s="321"/>
      <c r="J21" s="322"/>
      <c r="K21" s="323"/>
      <c r="L21" s="324"/>
      <c r="M21" s="325" t="str">
        <f t="shared" si="0"/>
        <v xml:space="preserve"> </v>
      </c>
      <c r="N21" s="326" t="str">
        <f t="shared" si="1"/>
        <v>-</v>
      </c>
      <c r="O21" s="315"/>
      <c r="P21" s="327"/>
      <c r="Q21" s="328"/>
      <c r="R21" s="329"/>
      <c r="S21" s="330"/>
      <c r="T21" s="331"/>
      <c r="U21" s="332" t="str">
        <f t="shared" si="2"/>
        <v xml:space="preserve"> </v>
      </c>
      <c r="V21" s="326" t="str">
        <f t="shared" si="3"/>
        <v>-</v>
      </c>
      <c r="W21" s="337"/>
      <c r="X21" s="329"/>
      <c r="Y21" s="330"/>
      <c r="Z21" s="331"/>
      <c r="AA21" s="332" t="str">
        <f t="shared" si="4"/>
        <v xml:space="preserve"> </v>
      </c>
      <c r="AB21" s="326" t="str">
        <f t="shared" si="5"/>
        <v>-</v>
      </c>
      <c r="AC21" s="332" t="str">
        <f t="shared" si="6"/>
        <v>-</v>
      </c>
      <c r="AD21" s="326" t="str">
        <f t="shared" si="7"/>
        <v>-</v>
      </c>
      <c r="AE21" s="337"/>
      <c r="AL21" s="81"/>
    </row>
    <row r="22" spans="2:38" s="4" customFormat="1" ht="16.5" x14ac:dyDescent="0.25">
      <c r="B22" s="314"/>
      <c r="C22" s="315"/>
      <c r="D22" s="335"/>
      <c r="E22" s="317"/>
      <c r="F22" s="318"/>
      <c r="G22" s="319"/>
      <c r="H22" s="320"/>
      <c r="I22" s="334"/>
      <c r="J22" s="322"/>
      <c r="K22" s="323"/>
      <c r="L22" s="324"/>
      <c r="M22" s="325" t="str">
        <f t="shared" si="0"/>
        <v xml:space="preserve"> </v>
      </c>
      <c r="N22" s="326" t="str">
        <f t="shared" si="1"/>
        <v>-</v>
      </c>
      <c r="O22" s="315"/>
      <c r="P22" s="327"/>
      <c r="Q22" s="328"/>
      <c r="R22" s="329"/>
      <c r="S22" s="330"/>
      <c r="T22" s="331"/>
      <c r="U22" s="332" t="str">
        <f t="shared" si="2"/>
        <v xml:space="preserve"> </v>
      </c>
      <c r="V22" s="326" t="str">
        <f t="shared" si="3"/>
        <v>-</v>
      </c>
      <c r="W22" s="333"/>
      <c r="X22" s="329"/>
      <c r="Y22" s="330"/>
      <c r="Z22" s="331"/>
      <c r="AA22" s="332" t="str">
        <f t="shared" si="4"/>
        <v xml:space="preserve"> </v>
      </c>
      <c r="AB22" s="326" t="str">
        <f t="shared" si="5"/>
        <v>-</v>
      </c>
      <c r="AC22" s="332" t="str">
        <f t="shared" si="6"/>
        <v>-</v>
      </c>
      <c r="AD22" s="326" t="str">
        <f t="shared" si="7"/>
        <v>-</v>
      </c>
      <c r="AE22" s="333"/>
      <c r="AL22" s="81"/>
    </row>
    <row r="23" spans="2:38" s="4" customFormat="1" ht="16.5" x14ac:dyDescent="0.25">
      <c r="B23" s="314"/>
      <c r="C23" s="315"/>
      <c r="D23" s="335"/>
      <c r="E23" s="317"/>
      <c r="F23" s="318"/>
      <c r="G23" s="319"/>
      <c r="H23" s="320"/>
      <c r="I23" s="334"/>
      <c r="J23" s="322"/>
      <c r="K23" s="323"/>
      <c r="L23" s="324"/>
      <c r="M23" s="325" t="str">
        <f t="shared" si="0"/>
        <v xml:space="preserve"> </v>
      </c>
      <c r="N23" s="326" t="str">
        <f t="shared" si="1"/>
        <v>-</v>
      </c>
      <c r="O23" s="315"/>
      <c r="P23" s="327"/>
      <c r="Q23" s="328"/>
      <c r="R23" s="329"/>
      <c r="S23" s="330"/>
      <c r="T23" s="331"/>
      <c r="U23" s="332" t="str">
        <f t="shared" si="2"/>
        <v xml:space="preserve"> </v>
      </c>
      <c r="V23" s="326" t="str">
        <f t="shared" si="3"/>
        <v>-</v>
      </c>
      <c r="W23" s="333"/>
      <c r="X23" s="329"/>
      <c r="Y23" s="330"/>
      <c r="Z23" s="331"/>
      <c r="AA23" s="332" t="str">
        <f t="shared" si="4"/>
        <v xml:space="preserve"> </v>
      </c>
      <c r="AB23" s="326" t="str">
        <f t="shared" si="5"/>
        <v>-</v>
      </c>
      <c r="AC23" s="332" t="str">
        <f t="shared" si="6"/>
        <v>-</v>
      </c>
      <c r="AD23" s="326" t="str">
        <f t="shared" si="7"/>
        <v>-</v>
      </c>
      <c r="AE23" s="333"/>
      <c r="AL23" s="81"/>
    </row>
    <row r="24" spans="2:38" s="4" customFormat="1" ht="16.5" x14ac:dyDescent="0.25">
      <c r="B24" s="314"/>
      <c r="C24" s="315"/>
      <c r="D24" s="335"/>
      <c r="E24" s="317"/>
      <c r="F24" s="318"/>
      <c r="G24" s="338"/>
      <c r="H24" s="320"/>
      <c r="I24" s="321"/>
      <c r="J24" s="322"/>
      <c r="K24" s="323"/>
      <c r="L24" s="324"/>
      <c r="M24" s="325" t="str">
        <f t="shared" si="0"/>
        <v xml:space="preserve"> </v>
      </c>
      <c r="N24" s="326" t="str">
        <f t="shared" si="1"/>
        <v>-</v>
      </c>
      <c r="O24" s="315"/>
      <c r="P24" s="327"/>
      <c r="Q24" s="328"/>
      <c r="R24" s="329"/>
      <c r="S24" s="330"/>
      <c r="T24" s="331"/>
      <c r="U24" s="332" t="str">
        <f t="shared" si="2"/>
        <v xml:space="preserve"> </v>
      </c>
      <c r="V24" s="326" t="str">
        <f t="shared" si="3"/>
        <v>-</v>
      </c>
      <c r="W24" s="333"/>
      <c r="X24" s="329"/>
      <c r="Y24" s="330"/>
      <c r="Z24" s="331"/>
      <c r="AA24" s="332" t="str">
        <f t="shared" si="4"/>
        <v xml:space="preserve"> </v>
      </c>
      <c r="AB24" s="326" t="str">
        <f t="shared" si="5"/>
        <v>-</v>
      </c>
      <c r="AC24" s="332" t="str">
        <f t="shared" si="6"/>
        <v>-</v>
      </c>
      <c r="AD24" s="326" t="str">
        <f t="shared" si="7"/>
        <v>-</v>
      </c>
      <c r="AE24" s="333"/>
      <c r="AL24" s="81"/>
    </row>
    <row r="25" spans="2:38" s="4" customFormat="1" ht="16.5" x14ac:dyDescent="0.25">
      <c r="B25" s="314"/>
      <c r="C25" s="315"/>
      <c r="D25" s="335"/>
      <c r="E25" s="317"/>
      <c r="F25" s="318"/>
      <c r="G25" s="319"/>
      <c r="H25" s="320"/>
      <c r="I25" s="321"/>
      <c r="J25" s="322"/>
      <c r="K25" s="323"/>
      <c r="L25" s="324"/>
      <c r="M25" s="325" t="str">
        <f t="shared" si="0"/>
        <v xml:space="preserve"> </v>
      </c>
      <c r="N25" s="326" t="str">
        <f t="shared" si="1"/>
        <v>-</v>
      </c>
      <c r="O25" s="315"/>
      <c r="P25" s="327"/>
      <c r="Q25" s="328"/>
      <c r="R25" s="329"/>
      <c r="S25" s="330"/>
      <c r="T25" s="331"/>
      <c r="U25" s="332" t="str">
        <f t="shared" si="2"/>
        <v xml:space="preserve"> </v>
      </c>
      <c r="V25" s="326" t="str">
        <f t="shared" si="3"/>
        <v>-</v>
      </c>
      <c r="W25" s="337"/>
      <c r="X25" s="329"/>
      <c r="Y25" s="330"/>
      <c r="Z25" s="331"/>
      <c r="AA25" s="332" t="str">
        <f t="shared" si="4"/>
        <v xml:space="preserve"> </v>
      </c>
      <c r="AB25" s="326" t="str">
        <f t="shared" si="5"/>
        <v>-</v>
      </c>
      <c r="AC25" s="332" t="str">
        <f t="shared" si="6"/>
        <v>-</v>
      </c>
      <c r="AD25" s="326" t="str">
        <f t="shared" si="7"/>
        <v>-</v>
      </c>
      <c r="AE25" s="337"/>
      <c r="AL25" s="81"/>
    </row>
    <row r="26" spans="2:38" s="4" customFormat="1" ht="16.5" x14ac:dyDescent="0.25">
      <c r="B26" s="314"/>
      <c r="C26" s="315"/>
      <c r="D26" s="335"/>
      <c r="E26" s="317"/>
      <c r="F26" s="318"/>
      <c r="G26" s="319"/>
      <c r="H26" s="320"/>
      <c r="I26" s="321"/>
      <c r="J26" s="322"/>
      <c r="K26" s="323"/>
      <c r="L26" s="324"/>
      <c r="M26" s="325" t="str">
        <f t="shared" si="0"/>
        <v xml:space="preserve"> </v>
      </c>
      <c r="N26" s="326" t="str">
        <f t="shared" si="1"/>
        <v>-</v>
      </c>
      <c r="O26" s="315"/>
      <c r="P26" s="327"/>
      <c r="Q26" s="328"/>
      <c r="R26" s="329"/>
      <c r="S26" s="330"/>
      <c r="T26" s="331"/>
      <c r="U26" s="332" t="str">
        <f t="shared" si="2"/>
        <v xml:space="preserve"> </v>
      </c>
      <c r="V26" s="326" t="str">
        <f t="shared" si="3"/>
        <v>-</v>
      </c>
      <c r="W26" s="337"/>
      <c r="X26" s="329"/>
      <c r="Y26" s="330"/>
      <c r="Z26" s="331"/>
      <c r="AA26" s="332" t="str">
        <f t="shared" si="4"/>
        <v xml:space="preserve"> </v>
      </c>
      <c r="AB26" s="326" t="str">
        <f t="shared" si="5"/>
        <v>-</v>
      </c>
      <c r="AC26" s="332" t="str">
        <f t="shared" si="6"/>
        <v>-</v>
      </c>
      <c r="AD26" s="326" t="str">
        <f t="shared" si="7"/>
        <v>-</v>
      </c>
      <c r="AE26" s="337"/>
      <c r="AL26" s="81"/>
    </row>
    <row r="27" spans="2:38" s="4" customFormat="1" ht="16.5" x14ac:dyDescent="0.25">
      <c r="B27" s="314"/>
      <c r="C27" s="315"/>
      <c r="D27" s="335"/>
      <c r="E27" s="317"/>
      <c r="F27" s="318"/>
      <c r="G27" s="319"/>
      <c r="H27" s="320"/>
      <c r="I27" s="321"/>
      <c r="J27" s="322"/>
      <c r="K27" s="323"/>
      <c r="L27" s="324"/>
      <c r="M27" s="325" t="str">
        <f t="shared" si="0"/>
        <v xml:space="preserve"> </v>
      </c>
      <c r="N27" s="326" t="str">
        <f t="shared" si="1"/>
        <v>-</v>
      </c>
      <c r="O27" s="315"/>
      <c r="P27" s="327"/>
      <c r="Q27" s="328"/>
      <c r="R27" s="329"/>
      <c r="S27" s="330"/>
      <c r="T27" s="331"/>
      <c r="U27" s="332" t="str">
        <f t="shared" si="2"/>
        <v xml:space="preserve"> </v>
      </c>
      <c r="V27" s="326" t="str">
        <f t="shared" si="3"/>
        <v>-</v>
      </c>
      <c r="W27" s="337"/>
      <c r="X27" s="329"/>
      <c r="Y27" s="330"/>
      <c r="Z27" s="331"/>
      <c r="AA27" s="332" t="str">
        <f t="shared" si="4"/>
        <v xml:space="preserve"> </v>
      </c>
      <c r="AB27" s="326" t="str">
        <f t="shared" si="5"/>
        <v>-</v>
      </c>
      <c r="AC27" s="332" t="str">
        <f t="shared" si="6"/>
        <v>-</v>
      </c>
      <c r="AD27" s="326" t="str">
        <f t="shared" si="7"/>
        <v>-</v>
      </c>
      <c r="AE27" s="337"/>
      <c r="AL27" s="81"/>
    </row>
    <row r="28" spans="2:38" s="4" customFormat="1" ht="16.5" x14ac:dyDescent="0.25">
      <c r="B28" s="314"/>
      <c r="C28" s="315"/>
      <c r="D28" s="335"/>
      <c r="E28" s="317"/>
      <c r="F28" s="318"/>
      <c r="G28" s="319"/>
      <c r="H28" s="320"/>
      <c r="I28" s="321"/>
      <c r="J28" s="322"/>
      <c r="K28" s="323"/>
      <c r="L28" s="324"/>
      <c r="M28" s="325" t="str">
        <f t="shared" si="0"/>
        <v xml:space="preserve"> </v>
      </c>
      <c r="N28" s="326" t="str">
        <f t="shared" si="1"/>
        <v>-</v>
      </c>
      <c r="O28" s="315"/>
      <c r="P28" s="327"/>
      <c r="Q28" s="328"/>
      <c r="R28" s="329"/>
      <c r="S28" s="330"/>
      <c r="T28" s="331"/>
      <c r="U28" s="332" t="str">
        <f t="shared" si="2"/>
        <v xml:space="preserve"> </v>
      </c>
      <c r="V28" s="326" t="str">
        <f t="shared" si="3"/>
        <v>-</v>
      </c>
      <c r="W28" s="337"/>
      <c r="X28" s="329"/>
      <c r="Y28" s="330"/>
      <c r="Z28" s="331"/>
      <c r="AA28" s="332" t="str">
        <f t="shared" si="4"/>
        <v xml:space="preserve"> </v>
      </c>
      <c r="AB28" s="326" t="str">
        <f t="shared" si="5"/>
        <v>-</v>
      </c>
      <c r="AC28" s="332" t="str">
        <f t="shared" si="6"/>
        <v>-</v>
      </c>
      <c r="AD28" s="326" t="str">
        <f t="shared" si="7"/>
        <v>-</v>
      </c>
      <c r="AE28" s="337"/>
      <c r="AL28" s="81"/>
    </row>
    <row r="29" spans="2:38" s="4" customFormat="1" ht="16.5" x14ac:dyDescent="0.25">
      <c r="B29" s="314"/>
      <c r="C29" s="315"/>
      <c r="D29" s="335"/>
      <c r="E29" s="317"/>
      <c r="F29" s="318"/>
      <c r="G29" s="319"/>
      <c r="H29" s="320"/>
      <c r="I29" s="334"/>
      <c r="J29" s="322"/>
      <c r="K29" s="323"/>
      <c r="L29" s="324"/>
      <c r="M29" s="325" t="str">
        <f t="shared" si="0"/>
        <v xml:space="preserve"> </v>
      </c>
      <c r="N29" s="326" t="str">
        <f t="shared" si="1"/>
        <v>-</v>
      </c>
      <c r="O29" s="315"/>
      <c r="P29" s="327"/>
      <c r="Q29" s="328"/>
      <c r="R29" s="329"/>
      <c r="S29" s="330"/>
      <c r="T29" s="331"/>
      <c r="U29" s="332" t="str">
        <f t="shared" si="2"/>
        <v xml:space="preserve"> </v>
      </c>
      <c r="V29" s="326" t="str">
        <f t="shared" si="3"/>
        <v>-</v>
      </c>
      <c r="W29" s="337"/>
      <c r="X29" s="329"/>
      <c r="Y29" s="330"/>
      <c r="Z29" s="331"/>
      <c r="AA29" s="332" t="str">
        <f t="shared" si="4"/>
        <v xml:space="preserve"> </v>
      </c>
      <c r="AB29" s="326" t="str">
        <f t="shared" si="5"/>
        <v>-</v>
      </c>
      <c r="AC29" s="332" t="str">
        <f t="shared" si="6"/>
        <v>-</v>
      </c>
      <c r="AD29" s="326" t="str">
        <f t="shared" si="7"/>
        <v>-</v>
      </c>
      <c r="AE29" s="337"/>
      <c r="AL29" s="81"/>
    </row>
    <row r="30" spans="2:38" s="4" customFormat="1" ht="16.5" x14ac:dyDescent="0.25">
      <c r="B30" s="314"/>
      <c r="C30" s="315"/>
      <c r="D30" s="335"/>
      <c r="E30" s="317"/>
      <c r="F30" s="318"/>
      <c r="G30" s="319"/>
      <c r="H30" s="320"/>
      <c r="I30" s="334"/>
      <c r="J30" s="322"/>
      <c r="K30" s="323"/>
      <c r="L30" s="324"/>
      <c r="M30" s="325" t="str">
        <f t="shared" si="0"/>
        <v xml:space="preserve"> </v>
      </c>
      <c r="N30" s="326" t="str">
        <f t="shared" si="1"/>
        <v>-</v>
      </c>
      <c r="O30" s="315"/>
      <c r="P30" s="327"/>
      <c r="Q30" s="328"/>
      <c r="R30" s="329"/>
      <c r="S30" s="330"/>
      <c r="T30" s="331"/>
      <c r="U30" s="332" t="str">
        <f t="shared" si="2"/>
        <v xml:space="preserve"> </v>
      </c>
      <c r="V30" s="326" t="str">
        <f t="shared" si="3"/>
        <v>-</v>
      </c>
      <c r="W30" s="337"/>
      <c r="X30" s="329"/>
      <c r="Y30" s="330"/>
      <c r="Z30" s="331"/>
      <c r="AA30" s="332" t="str">
        <f t="shared" si="4"/>
        <v xml:space="preserve"> </v>
      </c>
      <c r="AB30" s="326" t="str">
        <f t="shared" si="5"/>
        <v>-</v>
      </c>
      <c r="AC30" s="332" t="str">
        <f t="shared" si="6"/>
        <v>-</v>
      </c>
      <c r="AD30" s="326" t="str">
        <f t="shared" si="7"/>
        <v>-</v>
      </c>
      <c r="AE30" s="337"/>
      <c r="AL30" s="81"/>
    </row>
    <row r="31" spans="2:38" s="4" customFormat="1" ht="16.5" x14ac:dyDescent="0.25">
      <c r="B31" s="314"/>
      <c r="C31" s="315"/>
      <c r="D31" s="339"/>
      <c r="E31" s="317"/>
      <c r="F31" s="318"/>
      <c r="G31" s="319"/>
      <c r="H31" s="320"/>
      <c r="I31" s="334"/>
      <c r="J31" s="322"/>
      <c r="K31" s="323"/>
      <c r="L31" s="324"/>
      <c r="M31" s="325" t="str">
        <f t="shared" si="0"/>
        <v xml:space="preserve"> </v>
      </c>
      <c r="N31" s="326" t="str">
        <f t="shared" si="1"/>
        <v>-</v>
      </c>
      <c r="O31" s="315"/>
      <c r="P31" s="327"/>
      <c r="Q31" s="328"/>
      <c r="R31" s="329"/>
      <c r="S31" s="330"/>
      <c r="T31" s="331"/>
      <c r="U31" s="332" t="str">
        <f t="shared" si="2"/>
        <v xml:space="preserve"> </v>
      </c>
      <c r="V31" s="326" t="str">
        <f t="shared" si="3"/>
        <v>-</v>
      </c>
      <c r="W31" s="337"/>
      <c r="X31" s="329"/>
      <c r="Y31" s="330"/>
      <c r="Z31" s="331"/>
      <c r="AA31" s="332" t="str">
        <f t="shared" si="4"/>
        <v xml:space="preserve"> </v>
      </c>
      <c r="AB31" s="326" t="str">
        <f t="shared" si="5"/>
        <v>-</v>
      </c>
      <c r="AC31" s="332" t="str">
        <f t="shared" si="6"/>
        <v>-</v>
      </c>
      <c r="AD31" s="326" t="str">
        <f t="shared" si="7"/>
        <v>-</v>
      </c>
      <c r="AE31" s="337"/>
      <c r="AL31" s="81"/>
    </row>
    <row r="32" spans="2:38" s="4" customFormat="1" ht="16.5" x14ac:dyDescent="0.25">
      <c r="B32" s="314"/>
      <c r="C32" s="315"/>
      <c r="D32" s="339"/>
      <c r="E32" s="317"/>
      <c r="F32" s="318"/>
      <c r="G32" s="319"/>
      <c r="H32" s="320"/>
      <c r="I32" s="334"/>
      <c r="J32" s="322"/>
      <c r="K32" s="323"/>
      <c r="L32" s="324"/>
      <c r="M32" s="325" t="str">
        <f t="shared" si="0"/>
        <v xml:space="preserve"> </v>
      </c>
      <c r="N32" s="326" t="str">
        <f t="shared" si="1"/>
        <v>-</v>
      </c>
      <c r="O32" s="315"/>
      <c r="P32" s="327"/>
      <c r="Q32" s="328"/>
      <c r="R32" s="329"/>
      <c r="S32" s="330"/>
      <c r="T32" s="331"/>
      <c r="U32" s="332" t="str">
        <f t="shared" si="2"/>
        <v xml:space="preserve"> </v>
      </c>
      <c r="V32" s="326" t="str">
        <f t="shared" si="3"/>
        <v>-</v>
      </c>
      <c r="W32" s="337"/>
      <c r="X32" s="329"/>
      <c r="Y32" s="330"/>
      <c r="Z32" s="331"/>
      <c r="AA32" s="332" t="str">
        <f t="shared" si="4"/>
        <v xml:space="preserve"> </v>
      </c>
      <c r="AB32" s="326" t="str">
        <f t="shared" si="5"/>
        <v>-</v>
      </c>
      <c r="AC32" s="332" t="str">
        <f t="shared" si="6"/>
        <v>-</v>
      </c>
      <c r="AD32" s="326" t="str">
        <f t="shared" si="7"/>
        <v>-</v>
      </c>
      <c r="AE32" s="337"/>
      <c r="AL32" s="81"/>
    </row>
    <row r="33" spans="2:38" s="4" customFormat="1" ht="16.5" x14ac:dyDescent="0.25">
      <c r="B33" s="314"/>
      <c r="C33" s="315"/>
      <c r="D33" s="339"/>
      <c r="E33" s="317"/>
      <c r="F33" s="318"/>
      <c r="G33" s="319"/>
      <c r="H33" s="320"/>
      <c r="I33" s="334"/>
      <c r="J33" s="322"/>
      <c r="K33" s="323"/>
      <c r="L33" s="324"/>
      <c r="M33" s="325" t="str">
        <f t="shared" si="0"/>
        <v xml:space="preserve"> </v>
      </c>
      <c r="N33" s="326" t="str">
        <f t="shared" si="1"/>
        <v>-</v>
      </c>
      <c r="O33" s="315"/>
      <c r="P33" s="327"/>
      <c r="Q33" s="328"/>
      <c r="R33" s="329"/>
      <c r="S33" s="330"/>
      <c r="T33" s="331"/>
      <c r="U33" s="332" t="str">
        <f t="shared" si="2"/>
        <v xml:space="preserve"> </v>
      </c>
      <c r="V33" s="326" t="str">
        <f t="shared" si="3"/>
        <v>-</v>
      </c>
      <c r="W33" s="337"/>
      <c r="X33" s="329"/>
      <c r="Y33" s="330"/>
      <c r="Z33" s="331"/>
      <c r="AA33" s="332" t="str">
        <f t="shared" si="4"/>
        <v xml:space="preserve"> </v>
      </c>
      <c r="AB33" s="326" t="str">
        <f t="shared" si="5"/>
        <v>-</v>
      </c>
      <c r="AC33" s="332" t="str">
        <f t="shared" si="6"/>
        <v>-</v>
      </c>
      <c r="AD33" s="326" t="str">
        <f t="shared" si="7"/>
        <v>-</v>
      </c>
      <c r="AE33" s="337"/>
      <c r="AL33" s="81"/>
    </row>
    <row r="34" spans="2:38" s="4" customFormat="1" ht="16.5" x14ac:dyDescent="0.25">
      <c r="B34" s="314"/>
      <c r="C34" s="315"/>
      <c r="D34" s="340"/>
      <c r="E34" s="341"/>
      <c r="F34" s="318"/>
      <c r="G34" s="319"/>
      <c r="H34" s="320"/>
      <c r="I34" s="321"/>
      <c r="J34" s="322"/>
      <c r="K34" s="323"/>
      <c r="L34" s="324"/>
      <c r="M34" s="325" t="str">
        <f t="shared" si="0"/>
        <v xml:space="preserve"> </v>
      </c>
      <c r="N34" s="326" t="str">
        <f t="shared" si="1"/>
        <v>-</v>
      </c>
      <c r="O34" s="315"/>
      <c r="P34" s="327"/>
      <c r="Q34" s="328"/>
      <c r="R34" s="329"/>
      <c r="S34" s="330"/>
      <c r="T34" s="331"/>
      <c r="U34" s="332" t="str">
        <f t="shared" si="2"/>
        <v xml:space="preserve"> </v>
      </c>
      <c r="V34" s="326" t="str">
        <f t="shared" si="3"/>
        <v>-</v>
      </c>
      <c r="W34" s="337"/>
      <c r="X34" s="329"/>
      <c r="Y34" s="330"/>
      <c r="Z34" s="331"/>
      <c r="AA34" s="332" t="str">
        <f t="shared" si="4"/>
        <v xml:space="preserve"> </v>
      </c>
      <c r="AB34" s="326" t="str">
        <f t="shared" si="5"/>
        <v>-</v>
      </c>
      <c r="AC34" s="332" t="str">
        <f t="shared" si="6"/>
        <v>-</v>
      </c>
      <c r="AD34" s="326" t="str">
        <f t="shared" si="7"/>
        <v>-</v>
      </c>
      <c r="AE34" s="337"/>
      <c r="AL34" s="81"/>
    </row>
    <row r="35" spans="2:38" s="4" customFormat="1" ht="16.5" x14ac:dyDescent="0.25">
      <c r="B35" s="314"/>
      <c r="C35" s="315"/>
      <c r="D35" s="340"/>
      <c r="E35" s="341"/>
      <c r="F35" s="318"/>
      <c r="G35" s="319"/>
      <c r="H35" s="320"/>
      <c r="I35" s="321"/>
      <c r="J35" s="322"/>
      <c r="K35" s="323"/>
      <c r="L35" s="324"/>
      <c r="M35" s="325" t="str">
        <f t="shared" si="0"/>
        <v xml:space="preserve"> </v>
      </c>
      <c r="N35" s="326" t="str">
        <f t="shared" si="1"/>
        <v>-</v>
      </c>
      <c r="O35" s="315"/>
      <c r="P35" s="327"/>
      <c r="Q35" s="328"/>
      <c r="R35" s="329"/>
      <c r="S35" s="330"/>
      <c r="T35" s="331"/>
      <c r="U35" s="332" t="str">
        <f t="shared" si="2"/>
        <v xml:space="preserve"> </v>
      </c>
      <c r="V35" s="326" t="str">
        <f t="shared" si="3"/>
        <v>-</v>
      </c>
      <c r="W35" s="337"/>
      <c r="X35" s="329"/>
      <c r="Y35" s="330"/>
      <c r="Z35" s="331"/>
      <c r="AA35" s="332" t="str">
        <f t="shared" si="4"/>
        <v xml:space="preserve"> </v>
      </c>
      <c r="AB35" s="326" t="str">
        <f t="shared" si="5"/>
        <v>-</v>
      </c>
      <c r="AC35" s="332" t="str">
        <f t="shared" si="6"/>
        <v>-</v>
      </c>
      <c r="AD35" s="326" t="str">
        <f t="shared" si="7"/>
        <v>-</v>
      </c>
      <c r="AE35" s="337"/>
      <c r="AL35" s="81"/>
    </row>
    <row r="36" spans="2:38" s="4" customFormat="1" ht="16.5" x14ac:dyDescent="0.25">
      <c r="B36" s="314"/>
      <c r="C36" s="315"/>
      <c r="D36" s="340"/>
      <c r="E36" s="342"/>
      <c r="F36" s="318"/>
      <c r="G36" s="319"/>
      <c r="H36" s="320"/>
      <c r="I36" s="334"/>
      <c r="J36" s="322"/>
      <c r="K36" s="323"/>
      <c r="L36" s="324"/>
      <c r="M36" s="325" t="str">
        <f>IF(H36+J36=0," ",H36*J36)</f>
        <v xml:space="preserve"> </v>
      </c>
      <c r="N36" s="326" t="str">
        <f t="shared" si="1"/>
        <v>-</v>
      </c>
      <c r="O36" s="315"/>
      <c r="P36" s="327"/>
      <c r="Q36" s="328"/>
      <c r="R36" s="329"/>
      <c r="S36" s="330"/>
      <c r="T36" s="331"/>
      <c r="U36" s="332" t="str">
        <f t="shared" si="2"/>
        <v xml:space="preserve"> </v>
      </c>
      <c r="V36" s="326" t="str">
        <f t="shared" si="3"/>
        <v>-</v>
      </c>
      <c r="W36" s="337"/>
      <c r="X36" s="329"/>
      <c r="Y36" s="330"/>
      <c r="Z36" s="331"/>
      <c r="AA36" s="332" t="str">
        <f t="shared" si="4"/>
        <v xml:space="preserve"> </v>
      </c>
      <c r="AB36" s="326" t="str">
        <f t="shared" si="5"/>
        <v>-</v>
      </c>
      <c r="AC36" s="332" t="str">
        <f t="shared" si="6"/>
        <v>-</v>
      </c>
      <c r="AD36" s="326" t="str">
        <f t="shared" si="7"/>
        <v>-</v>
      </c>
      <c r="AE36" s="337"/>
      <c r="AL36" s="81"/>
    </row>
    <row r="37" spans="2:38" s="4" customFormat="1" ht="16.5" x14ac:dyDescent="0.25">
      <c r="B37" s="314"/>
      <c r="C37" s="315"/>
      <c r="D37" s="340"/>
      <c r="E37" s="342"/>
      <c r="F37" s="318"/>
      <c r="G37" s="319"/>
      <c r="H37" s="320"/>
      <c r="I37" s="334"/>
      <c r="J37" s="322"/>
      <c r="K37" s="323"/>
      <c r="L37" s="324"/>
      <c r="M37" s="325" t="str">
        <f>IF(H37+J37=0," ",H37*J37)</f>
        <v xml:space="preserve"> </v>
      </c>
      <c r="N37" s="326" t="str">
        <f t="shared" si="1"/>
        <v>-</v>
      </c>
      <c r="O37" s="315"/>
      <c r="P37" s="327"/>
      <c r="Q37" s="328"/>
      <c r="R37" s="329"/>
      <c r="S37" s="330"/>
      <c r="T37" s="331"/>
      <c r="U37" s="332" t="str">
        <f t="shared" si="2"/>
        <v xml:space="preserve"> </v>
      </c>
      <c r="V37" s="326" t="str">
        <f t="shared" si="3"/>
        <v>-</v>
      </c>
      <c r="W37" s="337"/>
      <c r="X37" s="329"/>
      <c r="Y37" s="330"/>
      <c r="Z37" s="331"/>
      <c r="AA37" s="332" t="str">
        <f t="shared" si="4"/>
        <v xml:space="preserve"> </v>
      </c>
      <c r="AB37" s="326" t="str">
        <f t="shared" si="5"/>
        <v>-</v>
      </c>
      <c r="AC37" s="332" t="str">
        <f t="shared" si="6"/>
        <v>-</v>
      </c>
      <c r="AD37" s="326" t="str">
        <f t="shared" si="7"/>
        <v>-</v>
      </c>
      <c r="AE37" s="337"/>
      <c r="AL37" s="81"/>
    </row>
    <row r="38" spans="2:38" s="4" customFormat="1" ht="17.25" thickBot="1" x14ac:dyDescent="0.3">
      <c r="B38" s="343"/>
      <c r="C38" s="344"/>
      <c r="D38" s="345"/>
      <c r="E38" s="346"/>
      <c r="F38" s="347"/>
      <c r="G38" s="348"/>
      <c r="H38" s="349"/>
      <c r="I38" s="350"/>
      <c r="J38" s="351"/>
      <c r="K38" s="352"/>
      <c r="L38" s="353"/>
      <c r="M38" s="354" t="str">
        <f>IF(H38+J38=0," ",H38*J38)</f>
        <v xml:space="preserve"> </v>
      </c>
      <c r="N38" s="355" t="str">
        <f t="shared" si="1"/>
        <v>-</v>
      </c>
      <c r="O38" s="344"/>
      <c r="P38" s="356"/>
      <c r="Q38" s="357"/>
      <c r="R38" s="358"/>
      <c r="S38" s="359"/>
      <c r="T38" s="353"/>
      <c r="U38" s="360" t="str">
        <f t="shared" si="2"/>
        <v xml:space="preserve"> </v>
      </c>
      <c r="V38" s="355" t="str">
        <f t="shared" si="3"/>
        <v>-</v>
      </c>
      <c r="W38" s="361"/>
      <c r="X38" s="358"/>
      <c r="Y38" s="359"/>
      <c r="Z38" s="353"/>
      <c r="AA38" s="360" t="str">
        <f t="shared" si="4"/>
        <v xml:space="preserve"> </v>
      </c>
      <c r="AB38" s="355" t="str">
        <f t="shared" si="5"/>
        <v>-</v>
      </c>
      <c r="AC38" s="360" t="str">
        <f t="shared" si="6"/>
        <v>-</v>
      </c>
      <c r="AD38" s="355" t="str">
        <f t="shared" si="7"/>
        <v>-</v>
      </c>
      <c r="AE38" s="361"/>
      <c r="AL38" s="81"/>
    </row>
    <row r="39" spans="2:38" ht="35.1" customHeight="1" x14ac:dyDescent="0.2">
      <c r="AL39" s="81"/>
    </row>
    <row r="40" spans="2:38" ht="35.1" customHeight="1" x14ac:dyDescent="0.2">
      <c r="AL40" s="81"/>
    </row>
    <row r="41" spans="2:38" ht="35.1" customHeight="1" x14ac:dyDescent="0.2">
      <c r="AL41" s="81"/>
    </row>
    <row r="42" spans="2:38" ht="35.1" customHeight="1" x14ac:dyDescent="0.2">
      <c r="AL42" s="81"/>
    </row>
    <row r="43" spans="2:38" ht="41.25" customHeight="1" x14ac:dyDescent="0.2">
      <c r="AL43" s="81"/>
    </row>
    <row r="44" spans="2:38" ht="40.5" customHeight="1" x14ac:dyDescent="0.2">
      <c r="AL44" s="81"/>
    </row>
    <row r="45" spans="2:38" ht="35.1" customHeight="1" x14ac:dyDescent="0.2">
      <c r="AL45" s="81"/>
    </row>
    <row r="46" spans="2:38" ht="17.25" customHeight="1" x14ac:dyDescent="0.2"/>
    <row r="47" spans="2:38" ht="35.1" customHeight="1" x14ac:dyDescent="0.2"/>
    <row r="48" spans="2:38" ht="12.75" customHeight="1" x14ac:dyDescent="0.2"/>
    <row r="49" ht="35.1" customHeight="1" x14ac:dyDescent="0.2"/>
    <row r="50" ht="35.1" customHeight="1" x14ac:dyDescent="0.2"/>
    <row r="51" ht="35.1" customHeight="1" x14ac:dyDescent="0.2"/>
    <row r="52" ht="35.1" customHeight="1" x14ac:dyDescent="0.2"/>
  </sheetData>
  <mergeCells count="37">
    <mergeCell ref="Z1:AA1"/>
    <mergeCell ref="AB1:AD1"/>
    <mergeCell ref="Z2:AA2"/>
    <mergeCell ref="AB2:AD2"/>
    <mergeCell ref="Z4:AA4"/>
    <mergeCell ref="AB4:AD4"/>
    <mergeCell ref="AB5:AD5"/>
    <mergeCell ref="AC7:AD7"/>
    <mergeCell ref="B9:B10"/>
    <mergeCell ref="C9:C10"/>
    <mergeCell ref="D9:D10"/>
    <mergeCell ref="E9:E10"/>
    <mergeCell ref="F9:F10"/>
    <mergeCell ref="G9:G10"/>
    <mergeCell ref="I9:I10"/>
    <mergeCell ref="M9:M10"/>
    <mergeCell ref="N9:N10"/>
    <mergeCell ref="O9:O10"/>
    <mergeCell ref="P9:P10"/>
    <mergeCell ref="Q9:Q10"/>
    <mergeCell ref="AD9:AD10"/>
    <mergeCell ref="AE9:AE10"/>
    <mergeCell ref="B4:B5"/>
    <mergeCell ref="X9:X10"/>
    <mergeCell ref="Y9:Y10"/>
    <mergeCell ref="Z9:Z10"/>
    <mergeCell ref="AA9:AA10"/>
    <mergeCell ref="AB9:AB10"/>
    <mergeCell ref="AC9:AC10"/>
    <mergeCell ref="R9:R10"/>
    <mergeCell ref="S9:S10"/>
    <mergeCell ref="T9:T10"/>
    <mergeCell ref="U9:U10"/>
    <mergeCell ref="V9:V10"/>
    <mergeCell ref="W9:W10"/>
    <mergeCell ref="K9:K10"/>
    <mergeCell ref="Z5:AA5"/>
  </mergeCells>
  <conditionalFormatting sqref="N11:N38">
    <cfRule type="expression" dxfId="45" priority="15" stopIfTrue="1">
      <formula>$V11="-"</formula>
    </cfRule>
    <cfRule type="expression" dxfId="44" priority="16" stopIfTrue="1">
      <formula>$N11&gt;749</formula>
    </cfRule>
    <cfRule type="expression" dxfId="43" priority="17" stopIfTrue="1">
      <formula>$N11&gt;499</formula>
    </cfRule>
    <cfRule type="expression" dxfId="42" priority="18" stopIfTrue="1">
      <formula>$N11&gt;249</formula>
    </cfRule>
    <cfRule type="cellIs" dxfId="41" priority="19" stopIfTrue="1" operator="equal">
      <formula>"-"</formula>
    </cfRule>
    <cfRule type="expression" dxfId="40" priority="20" stopIfTrue="1">
      <formula>$N11&gt;$AE$4</formula>
    </cfRule>
    <cfRule type="expression" dxfId="39" priority="21" stopIfTrue="1">
      <formula>$N11&gt;$AE$2</formula>
    </cfRule>
    <cfRule type="expression" dxfId="38" priority="22" stopIfTrue="1">
      <formula>$N11&gt;$AE$1</formula>
    </cfRule>
    <cfRule type="expression" dxfId="37" priority="23" stopIfTrue="1">
      <formula>$N11&gt;0</formula>
    </cfRule>
  </conditionalFormatting>
  <conditionalFormatting sqref="V11:V38">
    <cfRule type="cellIs" dxfId="36" priority="1" stopIfTrue="1" operator="equal">
      <formula>"-"</formula>
    </cfRule>
    <cfRule type="expression" dxfId="35" priority="2" stopIfTrue="1">
      <formula>$V11&gt;749</formula>
    </cfRule>
    <cfRule type="expression" dxfId="34" priority="3" stopIfTrue="1">
      <formula>$V11&gt;499</formula>
    </cfRule>
    <cfRule type="expression" dxfId="33" priority="4" stopIfTrue="1">
      <formula>$V11&gt;249</formula>
    </cfRule>
    <cfRule type="expression" dxfId="32" priority="5" stopIfTrue="1">
      <formula>$AB11&gt;0</formula>
    </cfRule>
  </conditionalFormatting>
  <conditionalFormatting sqref="AB11:AB38">
    <cfRule type="cellIs" dxfId="31" priority="6" stopIfTrue="1" operator="equal">
      <formula>"-"</formula>
    </cfRule>
    <cfRule type="expression" dxfId="30" priority="11" stopIfTrue="1">
      <formula>$AB11&gt;$AE$4</formula>
    </cfRule>
    <cfRule type="expression" dxfId="29" priority="12" stopIfTrue="1">
      <formula>$AB11&gt;$AE$2</formula>
    </cfRule>
    <cfRule type="expression" dxfId="28" priority="13" stopIfTrue="1">
      <formula>$AB11&gt;$AE$1</formula>
    </cfRule>
    <cfRule type="expression" dxfId="27" priority="14" stopIfTrue="1">
      <formula>$AB11&gt;0</formula>
    </cfRule>
  </conditionalFormatting>
  <conditionalFormatting sqref="AC11:AD38">
    <cfRule type="cellIs" dxfId="26" priority="7" stopIfTrue="1" operator="equal">
      <formula>"Low"</formula>
    </cfRule>
    <cfRule type="cellIs" dxfId="25" priority="8" stopIfTrue="1" operator="equal">
      <formula>"Very High"</formula>
    </cfRule>
    <cfRule type="cellIs" dxfId="24" priority="9" stopIfTrue="1" operator="equal">
      <formula>"High"</formula>
    </cfRule>
    <cfRule type="cellIs" dxfId="23" priority="10" stopIfTrue="1" operator="equal">
      <formula>"Medium"</formula>
    </cfRule>
  </conditionalFormatting>
  <dataValidations count="1">
    <dataValidation type="list" allowBlank="1" showInputMessage="1" showErrorMessage="1" sqref="X11:Z38 J11:J38 L11:L38 H11:H38 R11:T38" xr:uid="{8BC349C2-9F27-459D-9D0E-F8655086662E}">
      <formula1>$AF$1:$AF$11</formula1>
    </dataValidation>
  </dataValidations>
  <pageMargins left="0.70866141732283472" right="0.70866141732283472" top="0.94488188976377963" bottom="0.74803149606299213" header="0.31496062992125984" footer="0.31496062992125984"/>
  <pageSetup paperSize="9" scale="17" orientation="landscape" r:id="rId1"/>
  <headerFooter>
    <oddHeader xml:space="preserve">&amp;L&amp;G&amp;CMatrices de pilotage des risques&amp;REnregistrement 
Réf. :ENR-QUA-10 
Indice :3.0
Confidentialité : Restreint   </oddHeader>
  </headerFooter>
  <colBreaks count="1" manualBreakCount="1">
    <brk id="31" max="1048575" man="1"/>
  </col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75964-3B27-411E-8898-311DB7266DBF}">
  <sheetPr>
    <tabColor theme="7" tint="0.79998168889431442"/>
  </sheetPr>
  <dimension ref="A2:H17"/>
  <sheetViews>
    <sheetView showGridLines="0" topLeftCell="A7" zoomScale="85" zoomScaleNormal="85" zoomScaleSheetLayoutView="40" workbookViewId="0">
      <selection activeCell="C15" sqref="C15"/>
    </sheetView>
  </sheetViews>
  <sheetFormatPr defaultColWidth="11.42578125" defaultRowHeight="12.75" x14ac:dyDescent="0.2"/>
  <cols>
    <col min="1" max="1" width="4.7109375" style="2" customWidth="1"/>
    <col min="2" max="2" width="10.7109375" style="2" customWidth="1"/>
    <col min="3" max="3" width="20.28515625" style="2" bestFit="1" customWidth="1"/>
    <col min="4" max="4" width="53.7109375" style="2" customWidth="1"/>
    <col min="5" max="5" width="21.42578125" style="2" customWidth="1"/>
    <col min="6" max="6" width="42.85546875" style="2" customWidth="1"/>
    <col min="7" max="7" width="21.42578125" style="2" customWidth="1"/>
    <col min="8" max="8" width="42.85546875" style="2" customWidth="1"/>
    <col min="9" max="9" width="4.7109375" style="2" customWidth="1"/>
    <col min="10" max="15" width="10.7109375" style="2" customWidth="1"/>
    <col min="16" max="16384" width="11.42578125" style="2"/>
  </cols>
  <sheetData>
    <row r="2" spans="1:8" ht="28.5" customHeight="1" x14ac:dyDescent="0.2">
      <c r="B2" s="171" t="s">
        <v>337</v>
      </c>
      <c r="C2" s="171"/>
    </row>
    <row r="3" spans="1:8" ht="30" customHeight="1" x14ac:dyDescent="0.35">
      <c r="A3" s="160"/>
      <c r="B3" s="273" t="s">
        <v>338</v>
      </c>
      <c r="C3" s="160"/>
      <c r="D3" s="260"/>
      <c r="E3" s="260"/>
      <c r="F3" s="3"/>
      <c r="G3" s="3"/>
    </row>
    <row r="4" spans="1:8" ht="13.5" thickBot="1" x14ac:dyDescent="0.25"/>
    <row r="5" spans="1:8" ht="30.75" customHeight="1" thickBot="1" x14ac:dyDescent="0.25">
      <c r="B5" s="373" t="s">
        <v>339</v>
      </c>
      <c r="C5" s="521" t="s">
        <v>340</v>
      </c>
      <c r="D5" s="522"/>
      <c r="E5" s="522" t="s">
        <v>341</v>
      </c>
      <c r="F5" s="523"/>
      <c r="G5" s="521" t="s">
        <v>342</v>
      </c>
      <c r="H5" s="524"/>
    </row>
    <row r="6" spans="1:8" ht="69" customHeight="1" x14ac:dyDescent="0.2">
      <c r="B6" s="261">
        <v>1</v>
      </c>
      <c r="C6" s="262" t="s">
        <v>343</v>
      </c>
      <c r="D6" s="263" t="s">
        <v>344</v>
      </c>
      <c r="E6" s="262" t="s">
        <v>345</v>
      </c>
      <c r="F6" s="263" t="s">
        <v>346</v>
      </c>
      <c r="G6" s="262" t="s">
        <v>347</v>
      </c>
      <c r="H6" s="264" t="s">
        <v>348</v>
      </c>
    </row>
    <row r="7" spans="1:8" ht="69" customHeight="1" x14ac:dyDescent="0.2">
      <c r="B7" s="265">
        <v>2</v>
      </c>
      <c r="C7" s="266" t="s">
        <v>349</v>
      </c>
      <c r="D7" s="267" t="s">
        <v>350</v>
      </c>
      <c r="E7" s="266" t="s">
        <v>351</v>
      </c>
      <c r="F7" s="267" t="s">
        <v>352</v>
      </c>
      <c r="G7" s="266" t="s">
        <v>353</v>
      </c>
      <c r="H7" s="268" t="s">
        <v>354</v>
      </c>
    </row>
    <row r="8" spans="1:8" ht="69" customHeight="1" x14ac:dyDescent="0.2">
      <c r="B8" s="265">
        <v>3</v>
      </c>
      <c r="C8" s="266" t="s">
        <v>355</v>
      </c>
      <c r="D8" s="267" t="s">
        <v>356</v>
      </c>
      <c r="E8" s="266" t="s">
        <v>357</v>
      </c>
      <c r="F8" s="267" t="s">
        <v>358</v>
      </c>
      <c r="G8" s="266" t="s">
        <v>26</v>
      </c>
      <c r="H8" s="268" t="s">
        <v>359</v>
      </c>
    </row>
    <row r="9" spans="1:8" ht="69" customHeight="1" x14ac:dyDescent="0.2">
      <c r="B9" s="265">
        <v>4</v>
      </c>
      <c r="C9" s="266" t="s">
        <v>360</v>
      </c>
      <c r="D9" s="267" t="s">
        <v>361</v>
      </c>
      <c r="E9" s="266" t="s">
        <v>362</v>
      </c>
      <c r="F9" s="267" t="s">
        <v>363</v>
      </c>
      <c r="G9" s="266" t="s">
        <v>364</v>
      </c>
      <c r="H9" s="268" t="s">
        <v>365</v>
      </c>
    </row>
    <row r="10" spans="1:8" ht="69" customHeight="1" x14ac:dyDescent="0.2">
      <c r="B10" s="265">
        <v>5</v>
      </c>
      <c r="C10" s="266" t="s">
        <v>366</v>
      </c>
      <c r="D10" s="267" t="s">
        <v>367</v>
      </c>
      <c r="E10" s="266" t="s">
        <v>368</v>
      </c>
      <c r="F10" s="267" t="s">
        <v>369</v>
      </c>
      <c r="G10" s="266" t="s">
        <v>360</v>
      </c>
      <c r="H10" s="268" t="s">
        <v>370</v>
      </c>
    </row>
    <row r="11" spans="1:8" ht="69" customHeight="1" x14ac:dyDescent="0.2">
      <c r="B11" s="265">
        <v>6</v>
      </c>
      <c r="C11" s="266" t="s">
        <v>371</v>
      </c>
      <c r="D11" s="267" t="s">
        <v>372</v>
      </c>
      <c r="E11" s="266" t="s">
        <v>373</v>
      </c>
      <c r="F11" s="267" t="s">
        <v>374</v>
      </c>
      <c r="G11" s="266" t="s">
        <v>375</v>
      </c>
      <c r="H11" s="268" t="s">
        <v>376</v>
      </c>
    </row>
    <row r="12" spans="1:8" ht="69" customHeight="1" x14ac:dyDescent="0.2">
      <c r="B12" s="265">
        <v>7</v>
      </c>
      <c r="C12" s="266" t="s">
        <v>377</v>
      </c>
      <c r="D12" s="267" t="s">
        <v>378</v>
      </c>
      <c r="E12" s="266" t="s">
        <v>379</v>
      </c>
      <c r="F12" s="267" t="s">
        <v>380</v>
      </c>
      <c r="G12" s="266" t="s">
        <v>381</v>
      </c>
      <c r="H12" s="268" t="s">
        <v>382</v>
      </c>
    </row>
    <row r="13" spans="1:8" ht="69" customHeight="1" x14ac:dyDescent="0.2">
      <c r="B13" s="265">
        <v>8</v>
      </c>
      <c r="C13" s="266" t="s">
        <v>383</v>
      </c>
      <c r="D13" s="267" t="s">
        <v>384</v>
      </c>
      <c r="E13" s="266" t="s">
        <v>385</v>
      </c>
      <c r="F13" s="267" t="s">
        <v>386</v>
      </c>
      <c r="G13" s="266" t="s">
        <v>387</v>
      </c>
      <c r="H13" s="268" t="s">
        <v>388</v>
      </c>
    </row>
    <row r="14" spans="1:8" ht="69" customHeight="1" x14ac:dyDescent="0.2">
      <c r="B14" s="265">
        <v>9</v>
      </c>
      <c r="C14" s="266" t="s">
        <v>389</v>
      </c>
      <c r="D14" s="267" t="s">
        <v>390</v>
      </c>
      <c r="E14" s="266" t="s">
        <v>391</v>
      </c>
      <c r="F14" s="267" t="s">
        <v>392</v>
      </c>
      <c r="G14" s="266" t="s">
        <v>393</v>
      </c>
      <c r="H14" s="268" t="s">
        <v>394</v>
      </c>
    </row>
    <row r="15" spans="1:8" ht="69" customHeight="1" x14ac:dyDescent="0.2">
      <c r="B15" s="269">
        <v>10</v>
      </c>
      <c r="C15" s="270" t="s">
        <v>395</v>
      </c>
      <c r="D15" s="271" t="s">
        <v>396</v>
      </c>
      <c r="E15" s="270" t="s">
        <v>397</v>
      </c>
      <c r="F15" s="271" t="s">
        <v>398</v>
      </c>
      <c r="G15" s="270" t="s">
        <v>399</v>
      </c>
      <c r="H15" s="272" t="s">
        <v>400</v>
      </c>
    </row>
    <row r="17" ht="20.25" customHeight="1" x14ac:dyDescent="0.2"/>
  </sheetData>
  <mergeCells count="3">
    <mergeCell ref="C5:D5"/>
    <mergeCell ref="E5:F5"/>
    <mergeCell ref="G5:H5"/>
  </mergeCells>
  <conditionalFormatting sqref="B6:B15">
    <cfRule type="colorScale" priority="1">
      <colorScale>
        <cfvo type="num" val="1"/>
        <cfvo type="percentile" val="50"/>
        <cfvo type="num" val="10"/>
        <color rgb="FF00B050"/>
        <color rgb="FFFFEB84"/>
        <color rgb="FFFF0000"/>
      </colorScale>
    </cfRule>
  </conditionalFormatting>
  <pageMargins left="0.70866141732283472" right="0.70866141732283472" top="0.94488188976377963" bottom="0.74803149606299213" header="0.31496062992125984" footer="0.31496062992125984"/>
  <pageSetup paperSize="9" scale="39" orientation="portrait" r:id="rId1"/>
  <headerFooter>
    <oddHeader xml:space="preserve">&amp;L&amp;G&amp;CMatrices de pilotage des risques&amp;REnregistrement 
Réf. :ENR-QUA-10 
Indice :3.0
Confidentialité : Restreint   </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4271-64F4-4BF1-89A9-C51F4625B969}">
  <dimension ref="A1:AL56"/>
  <sheetViews>
    <sheetView zoomScaleNormal="100" zoomScaleSheetLayoutView="100" workbookViewId="0">
      <selection activeCell="D15" sqref="D15"/>
    </sheetView>
  </sheetViews>
  <sheetFormatPr defaultColWidth="9.140625" defaultRowHeight="12.75" outlineLevelRow="1" x14ac:dyDescent="0.2"/>
  <cols>
    <col min="1" max="1" width="9.140625" style="2"/>
    <col min="2" max="2" width="15.85546875" style="2" customWidth="1"/>
    <col min="3" max="3" width="16.140625" style="2" customWidth="1"/>
    <col min="4" max="4" width="28" style="2" customWidth="1"/>
    <col min="5" max="5" width="13.5703125" style="2" customWidth="1"/>
    <col min="6" max="6" width="28" style="2" customWidth="1"/>
    <col min="7" max="7" width="25" style="2" customWidth="1"/>
    <col min="8" max="8" width="10" style="2" customWidth="1"/>
    <col min="9" max="9" width="26.42578125" style="2" customWidth="1"/>
    <col min="10" max="10" width="10" style="2" customWidth="1"/>
    <col min="11" max="11" width="33" style="2" customWidth="1"/>
    <col min="12" max="12" width="6.7109375" style="2" customWidth="1"/>
    <col min="13" max="14" width="7" style="2" customWidth="1"/>
    <col min="15" max="15" width="26.5703125" style="2" customWidth="1"/>
    <col min="16" max="17" width="13.140625" style="2" customWidth="1"/>
    <col min="18" max="18" width="7" style="2" customWidth="1"/>
    <col min="19" max="19" width="5.7109375" style="2" customWidth="1"/>
    <col min="20" max="20" width="5.85546875" style="2" customWidth="1"/>
    <col min="21" max="21" width="4.28515625" style="2" customWidth="1"/>
    <col min="22" max="22" width="10" style="2" customWidth="1"/>
    <col min="23" max="23" width="25.85546875" style="2" customWidth="1"/>
    <col min="24" max="24" width="7" style="2" customWidth="1"/>
    <col min="25" max="25" width="5.7109375" style="2" customWidth="1"/>
    <col min="26" max="26" width="5.85546875" style="2" customWidth="1"/>
    <col min="27" max="27" width="4.28515625" style="2" customWidth="1"/>
    <col min="28" max="28" width="10" style="2" customWidth="1"/>
    <col min="29" max="30" width="10.140625" style="2" bestFit="1" customWidth="1"/>
    <col min="31" max="16384" width="9.140625" style="2"/>
  </cols>
  <sheetData>
    <row r="1" spans="1:36" ht="19.5" customHeight="1" x14ac:dyDescent="0.2">
      <c r="S1" s="5"/>
      <c r="Y1" s="5"/>
      <c r="Z1" s="525" t="s">
        <v>75</v>
      </c>
      <c r="AA1" s="525"/>
      <c r="AB1" s="525"/>
      <c r="AC1" s="525"/>
      <c r="AD1" s="525"/>
      <c r="AE1" s="2" t="s">
        <v>401</v>
      </c>
      <c r="AF1" s="2" t="s">
        <v>402</v>
      </c>
    </row>
    <row r="2" spans="1:36" ht="19.5" customHeight="1" x14ac:dyDescent="0.25">
      <c r="C2" s="1" t="s">
        <v>403</v>
      </c>
      <c r="S2" s="6"/>
      <c r="T2" s="518" t="str">
        <f>"0 - "&amp;Y2</f>
        <v xml:space="preserve">0 - </v>
      </c>
      <c r="U2" s="518"/>
      <c r="Y2" s="6"/>
      <c r="Z2" s="518" t="str">
        <f>"0 - "&amp;AE2</f>
        <v>0 - 249</v>
      </c>
      <c r="AA2" s="518"/>
      <c r="AB2" s="518" t="s">
        <v>404</v>
      </c>
      <c r="AC2" s="518"/>
      <c r="AD2" s="518"/>
      <c r="AE2" s="116">
        <v>249</v>
      </c>
      <c r="AF2" s="2">
        <v>1</v>
      </c>
    </row>
    <row r="3" spans="1:36" ht="19.5" customHeight="1" x14ac:dyDescent="0.2">
      <c r="I3" s="2" t="s">
        <v>273</v>
      </c>
      <c r="S3" s="6"/>
      <c r="T3" s="519" t="str">
        <f>(Y2+1)&amp;" - "&amp;Y3</f>
        <v xml:space="preserve">1 - </v>
      </c>
      <c r="U3" s="519"/>
      <c r="Y3" s="6"/>
      <c r="Z3" s="519" t="str">
        <f>(AE2+1)&amp;" - "&amp;AE3</f>
        <v>250 - 499</v>
      </c>
      <c r="AA3" s="519"/>
      <c r="AB3" s="519" t="s">
        <v>77</v>
      </c>
      <c r="AC3" s="519"/>
      <c r="AD3" s="519"/>
      <c r="AE3" s="116">
        <v>499</v>
      </c>
      <c r="AF3" s="2">
        <v>2</v>
      </c>
    </row>
    <row r="4" spans="1:36" ht="19.5" customHeight="1" x14ac:dyDescent="0.2">
      <c r="C4" s="7" t="s">
        <v>405</v>
      </c>
      <c r="D4" s="8"/>
      <c r="E4" s="9"/>
      <c r="F4" s="10"/>
      <c r="G4" s="526" t="s">
        <v>406</v>
      </c>
      <c r="H4" s="527"/>
      <c r="I4" s="528"/>
      <c r="K4" s="11" t="s">
        <v>407</v>
      </c>
      <c r="L4" s="532"/>
      <c r="M4" s="532"/>
      <c r="N4" s="532"/>
      <c r="O4" s="12"/>
      <c r="P4" s="13"/>
      <c r="Q4" s="14"/>
      <c r="R4" s="14"/>
      <c r="S4" s="6"/>
      <c r="T4" s="533" t="str">
        <f>(Y3+1)&amp;" - "&amp;Y4</f>
        <v xml:space="preserve">1 - </v>
      </c>
      <c r="U4" s="533"/>
      <c r="V4" s="14"/>
      <c r="W4" s="14"/>
      <c r="X4" s="14"/>
      <c r="Y4" s="6"/>
      <c r="Z4" s="533" t="str">
        <f>(AE3+1)&amp;" - "&amp;AE4</f>
        <v>500 - 749</v>
      </c>
      <c r="AA4" s="533"/>
      <c r="AB4" s="533" t="s">
        <v>408</v>
      </c>
      <c r="AC4" s="533"/>
      <c r="AD4" s="533"/>
      <c r="AE4" s="117">
        <v>749</v>
      </c>
      <c r="AF4" s="2">
        <v>3</v>
      </c>
    </row>
    <row r="5" spans="1:36" ht="19.5" customHeight="1" x14ac:dyDescent="0.2">
      <c r="C5" s="15"/>
      <c r="D5" s="16"/>
      <c r="E5" s="17"/>
      <c r="F5" s="18"/>
      <c r="G5" s="529"/>
      <c r="H5" s="530"/>
      <c r="I5" s="531"/>
      <c r="K5" s="19" t="s">
        <v>409</v>
      </c>
      <c r="L5" s="534"/>
      <c r="M5" s="534"/>
      <c r="N5" s="534"/>
      <c r="O5" s="20" t="s">
        <v>410</v>
      </c>
      <c r="P5" s="21"/>
      <c r="Q5" s="22"/>
      <c r="R5" s="22"/>
      <c r="S5" s="6"/>
      <c r="T5" s="535" t="str">
        <f>(Y4+1)&amp;" - "&amp;Y5</f>
        <v xml:space="preserve">1 - </v>
      </c>
      <c r="U5" s="535"/>
      <c r="V5" s="22"/>
      <c r="W5" s="22"/>
      <c r="X5" s="22"/>
      <c r="Y5" s="6"/>
      <c r="Z5" s="535" t="str">
        <f>(AE4+1)&amp;" - "&amp;AE5</f>
        <v>750 - 1000</v>
      </c>
      <c r="AA5" s="535"/>
      <c r="AB5" s="535" t="s">
        <v>411</v>
      </c>
      <c r="AC5" s="535"/>
      <c r="AD5" s="535"/>
      <c r="AE5" s="117">
        <v>1000</v>
      </c>
      <c r="AF5" s="2">
        <v>4</v>
      </c>
    </row>
    <row r="6" spans="1:36" ht="6.75" customHeight="1" x14ac:dyDescent="0.2">
      <c r="C6" s="4"/>
      <c r="D6" s="4"/>
      <c r="E6" s="23"/>
      <c r="F6" s="4"/>
      <c r="G6" s="24"/>
      <c r="H6" s="24"/>
      <c r="I6" s="24"/>
      <c r="K6" s="25"/>
      <c r="L6" s="23"/>
      <c r="M6" s="23"/>
      <c r="N6" s="23"/>
      <c r="O6" s="14"/>
      <c r="P6" s="22"/>
      <c r="Q6" s="22"/>
      <c r="R6" s="22"/>
      <c r="S6" s="6"/>
      <c r="T6" s="26"/>
      <c r="U6" s="26"/>
      <c r="V6" s="26"/>
      <c r="W6" s="22"/>
      <c r="X6" s="22"/>
      <c r="Y6" s="6"/>
      <c r="Z6" s="26"/>
      <c r="AA6" s="26"/>
      <c r="AB6" s="26"/>
      <c r="AC6" s="26"/>
      <c r="AD6" s="26"/>
      <c r="AE6" s="117"/>
      <c r="AF6" s="2">
        <v>5</v>
      </c>
    </row>
    <row r="7" spans="1:36" ht="6.75" customHeight="1" x14ac:dyDescent="0.2">
      <c r="C7" s="4"/>
      <c r="D7" s="4"/>
      <c r="E7" s="23"/>
      <c r="F7" s="4"/>
      <c r="G7" s="24"/>
      <c r="H7" s="24"/>
      <c r="I7" s="24"/>
      <c r="K7" s="25"/>
      <c r="L7" s="23"/>
      <c r="M7" s="23"/>
      <c r="N7" s="23"/>
      <c r="O7" s="14"/>
      <c r="P7" s="22"/>
      <c r="Q7" s="22"/>
      <c r="R7" s="22"/>
      <c r="S7" s="6"/>
      <c r="T7" s="26"/>
      <c r="U7" s="26"/>
      <c r="V7" s="26"/>
      <c r="W7" s="22"/>
      <c r="X7" s="22"/>
      <c r="Y7" s="6"/>
      <c r="Z7" s="26"/>
      <c r="AA7" s="26"/>
      <c r="AB7" s="26"/>
      <c r="AC7" s="26"/>
      <c r="AD7" s="26"/>
      <c r="AE7" s="117"/>
      <c r="AF7" s="2">
        <v>6</v>
      </c>
    </row>
    <row r="8" spans="1:36" ht="6.75" customHeight="1" x14ac:dyDescent="0.2">
      <c r="C8" s="4"/>
      <c r="D8" s="4"/>
      <c r="E8" s="23"/>
      <c r="F8" s="4"/>
      <c r="G8" s="24"/>
      <c r="H8" s="24"/>
      <c r="I8" s="24"/>
      <c r="K8" s="25"/>
      <c r="L8" s="23"/>
      <c r="M8" s="23"/>
      <c r="N8" s="23"/>
      <c r="O8" s="14"/>
      <c r="P8" s="22"/>
      <c r="Q8" s="22"/>
      <c r="R8" s="22"/>
      <c r="S8" s="6"/>
      <c r="T8" s="26"/>
      <c r="U8" s="26"/>
      <c r="V8" s="26"/>
      <c r="W8" s="22"/>
      <c r="X8" s="22"/>
      <c r="Y8" s="6"/>
      <c r="Z8" s="26"/>
      <c r="AA8" s="26"/>
      <c r="AB8" s="26"/>
      <c r="AC8" s="26"/>
      <c r="AD8" s="26"/>
      <c r="AE8" s="117"/>
      <c r="AF8" s="2">
        <v>7</v>
      </c>
    </row>
    <row r="9" spans="1:36" ht="6.75" customHeight="1" x14ac:dyDescent="0.2">
      <c r="C9" s="4"/>
      <c r="D9" s="4"/>
      <c r="E9" s="23"/>
      <c r="F9" s="4"/>
      <c r="G9" s="24"/>
      <c r="H9" s="24"/>
      <c r="I9" s="24"/>
      <c r="K9" s="25"/>
      <c r="L9" s="23"/>
      <c r="M9" s="23"/>
      <c r="N9" s="23"/>
      <c r="O9" s="14"/>
      <c r="P9" s="22"/>
      <c r="Q9" s="22"/>
      <c r="R9" s="22"/>
      <c r="S9" s="6"/>
      <c r="T9" s="26"/>
      <c r="U9" s="26"/>
      <c r="V9" s="26"/>
      <c r="W9" s="22"/>
      <c r="X9" s="22"/>
      <c r="Y9" s="6"/>
      <c r="Z9" s="26"/>
      <c r="AA9" s="26"/>
      <c r="AB9" s="26"/>
      <c r="AC9" s="26"/>
      <c r="AD9" s="26"/>
      <c r="AE9" s="117"/>
      <c r="AF9" s="2">
        <v>8</v>
      </c>
    </row>
    <row r="10" spans="1:36" ht="6.75" customHeight="1" x14ac:dyDescent="0.2">
      <c r="C10" s="4"/>
      <c r="D10" s="4"/>
      <c r="E10" s="23"/>
      <c r="F10" s="4"/>
      <c r="G10" s="24"/>
      <c r="H10" s="24"/>
      <c r="I10" s="24"/>
      <c r="K10" s="25"/>
      <c r="L10" s="23"/>
      <c r="M10" s="23"/>
      <c r="N10" s="23"/>
      <c r="O10" s="14"/>
      <c r="P10" s="22"/>
      <c r="Q10" s="22"/>
      <c r="R10" s="22"/>
      <c r="S10" s="6"/>
      <c r="T10" s="26"/>
      <c r="U10" s="26"/>
      <c r="V10" s="26"/>
      <c r="W10" s="22"/>
      <c r="X10" s="22"/>
      <c r="Y10" s="6"/>
      <c r="Z10" s="26"/>
      <c r="AA10" s="26"/>
      <c r="AB10" s="26"/>
      <c r="AC10" s="26"/>
      <c r="AD10" s="26"/>
      <c r="AE10" s="117"/>
      <c r="AF10" s="2">
        <v>9</v>
      </c>
    </row>
    <row r="11" spans="1:36" ht="6.75" customHeight="1" thickBot="1" x14ac:dyDescent="0.25">
      <c r="C11" s="4"/>
      <c r="D11" s="4"/>
      <c r="E11" s="25"/>
      <c r="F11" s="4"/>
      <c r="G11" s="24"/>
      <c r="H11" s="24"/>
      <c r="I11" s="24"/>
      <c r="K11" s="25"/>
      <c r="L11" s="25"/>
      <c r="M11" s="25"/>
      <c r="N11" s="25"/>
      <c r="O11" s="14"/>
      <c r="P11" s="14"/>
      <c r="Q11" s="14"/>
      <c r="R11" s="26"/>
      <c r="S11" s="26"/>
      <c r="T11" s="27"/>
      <c r="U11" s="27"/>
      <c r="V11" s="27"/>
      <c r="W11" s="28"/>
      <c r="X11" s="26"/>
      <c r="Y11" s="26"/>
      <c r="Z11" s="27"/>
      <c r="AA11" s="27"/>
      <c r="AB11" s="27"/>
      <c r="AC11" s="27"/>
      <c r="AD11" s="27"/>
      <c r="AF11" s="2">
        <v>10</v>
      </c>
    </row>
    <row r="12" spans="1:36" s="29" customFormat="1" ht="14.25" customHeight="1" thickBot="1" x14ac:dyDescent="0.25">
      <c r="C12" s="30" t="s">
        <v>412</v>
      </c>
      <c r="D12" s="31"/>
      <c r="E12" s="32"/>
      <c r="F12" s="33"/>
      <c r="G12" s="34" t="s">
        <v>413</v>
      </c>
      <c r="H12" s="35"/>
      <c r="I12" s="36" t="s">
        <v>280</v>
      </c>
      <c r="J12" s="37"/>
      <c r="K12" s="38" t="s">
        <v>414</v>
      </c>
      <c r="L12" s="39"/>
      <c r="M12" s="40" t="s">
        <v>71</v>
      </c>
      <c r="N12" s="41"/>
      <c r="O12" s="42" t="s">
        <v>415</v>
      </c>
      <c r="P12" s="32"/>
      <c r="Q12" s="32"/>
      <c r="R12" s="43" t="s">
        <v>416</v>
      </c>
      <c r="S12" s="44"/>
      <c r="T12" s="44"/>
      <c r="U12" s="44"/>
      <c r="V12" s="45"/>
      <c r="W12" s="46"/>
      <c r="X12" s="43" t="s">
        <v>417</v>
      </c>
      <c r="Y12" s="44"/>
      <c r="Z12" s="44"/>
      <c r="AA12" s="44"/>
      <c r="AB12" s="45"/>
      <c r="AC12" s="42" t="s">
        <v>418</v>
      </c>
      <c r="AD12" s="46"/>
    </row>
    <row r="13" spans="1:36" ht="54" customHeight="1" thickBot="1" x14ac:dyDescent="0.25">
      <c r="A13" s="47" t="s">
        <v>286</v>
      </c>
      <c r="B13" s="118" t="s">
        <v>419</v>
      </c>
      <c r="C13" s="119" t="s">
        <v>420</v>
      </c>
      <c r="D13" s="120" t="s">
        <v>421</v>
      </c>
      <c r="E13" s="49" t="s">
        <v>422</v>
      </c>
      <c r="F13" s="50" t="s">
        <v>423</v>
      </c>
      <c r="G13" s="51" t="s">
        <v>424</v>
      </c>
      <c r="H13" s="50" t="s">
        <v>292</v>
      </c>
      <c r="I13" s="51" t="s">
        <v>425</v>
      </c>
      <c r="J13" s="50" t="s">
        <v>294</v>
      </c>
      <c r="K13" s="51" t="s">
        <v>426</v>
      </c>
      <c r="L13" s="50" t="s">
        <v>296</v>
      </c>
      <c r="M13" s="52" t="s">
        <v>297</v>
      </c>
      <c r="N13" s="53" t="s">
        <v>298</v>
      </c>
      <c r="O13" s="48" t="s">
        <v>427</v>
      </c>
      <c r="P13" s="49" t="s">
        <v>300</v>
      </c>
      <c r="Q13" s="49" t="s">
        <v>301</v>
      </c>
      <c r="R13" s="54" t="s">
        <v>292</v>
      </c>
      <c r="S13" s="55" t="s">
        <v>294</v>
      </c>
      <c r="T13" s="53" t="s">
        <v>296</v>
      </c>
      <c r="U13" s="54" t="s">
        <v>297</v>
      </c>
      <c r="V13" s="56" t="s">
        <v>298</v>
      </c>
      <c r="W13" s="50" t="s">
        <v>428</v>
      </c>
      <c r="X13" s="54" t="s">
        <v>292</v>
      </c>
      <c r="Y13" s="55" t="s">
        <v>294</v>
      </c>
      <c r="Z13" s="53" t="s">
        <v>296</v>
      </c>
      <c r="AA13" s="54" t="s">
        <v>297</v>
      </c>
      <c r="AB13" s="56" t="s">
        <v>298</v>
      </c>
      <c r="AC13" s="48" t="s">
        <v>429</v>
      </c>
      <c r="AD13" s="50" t="s">
        <v>430</v>
      </c>
    </row>
    <row r="14" spans="1:36" s="60" customFormat="1" ht="112.5" customHeight="1" outlineLevel="1" x14ac:dyDescent="0.2">
      <c r="A14" s="538"/>
      <c r="B14" s="121"/>
      <c r="C14" s="122" t="s">
        <v>431</v>
      </c>
      <c r="D14" s="123" t="s">
        <v>432</v>
      </c>
      <c r="E14" s="540" t="s">
        <v>433</v>
      </c>
      <c r="F14" s="542" t="s">
        <v>434</v>
      </c>
      <c r="G14" s="544" t="s">
        <v>435</v>
      </c>
      <c r="H14" s="57" t="s">
        <v>436</v>
      </c>
      <c r="I14" s="546" t="s">
        <v>437</v>
      </c>
      <c r="J14" s="58" t="s">
        <v>438</v>
      </c>
      <c r="K14" s="548" t="s">
        <v>439</v>
      </c>
      <c r="L14" s="59" t="s">
        <v>440</v>
      </c>
      <c r="M14" s="550" t="s">
        <v>441</v>
      </c>
      <c r="N14" s="552" t="s">
        <v>442</v>
      </c>
      <c r="O14" s="554" t="s">
        <v>443</v>
      </c>
      <c r="P14" s="540" t="s">
        <v>444</v>
      </c>
      <c r="Q14" s="556" t="s">
        <v>445</v>
      </c>
      <c r="R14" s="536" t="s">
        <v>446</v>
      </c>
      <c r="S14" s="550" t="s">
        <v>438</v>
      </c>
      <c r="T14" s="552" t="s">
        <v>440</v>
      </c>
      <c r="U14" s="536" t="s">
        <v>441</v>
      </c>
      <c r="V14" s="560"/>
      <c r="W14" s="562" t="s">
        <v>447</v>
      </c>
      <c r="X14" s="536" t="s">
        <v>446</v>
      </c>
      <c r="Y14" s="550" t="s">
        <v>438</v>
      </c>
      <c r="Z14" s="552" t="s">
        <v>440</v>
      </c>
      <c r="AA14" s="536" t="s">
        <v>441</v>
      </c>
      <c r="AB14" s="560"/>
      <c r="AC14" s="536" t="s">
        <v>448</v>
      </c>
      <c r="AD14" s="558" t="s">
        <v>449</v>
      </c>
      <c r="AE14" s="2"/>
      <c r="AF14" s="2"/>
      <c r="AG14" s="2"/>
      <c r="AH14" s="2"/>
      <c r="AI14" s="2"/>
      <c r="AJ14" s="2"/>
    </row>
    <row r="15" spans="1:36" s="60" customFormat="1" ht="53.25" customHeight="1" outlineLevel="1" thickBot="1" x14ac:dyDescent="0.25">
      <c r="A15" s="539"/>
      <c r="B15" s="124"/>
      <c r="C15" s="125"/>
      <c r="D15" s="126"/>
      <c r="E15" s="541"/>
      <c r="F15" s="543"/>
      <c r="G15" s="545"/>
      <c r="H15" s="61" t="s">
        <v>450</v>
      </c>
      <c r="I15" s="547"/>
      <c r="J15" s="62" t="s">
        <v>450</v>
      </c>
      <c r="K15" s="549"/>
      <c r="L15" s="62" t="s">
        <v>450</v>
      </c>
      <c r="M15" s="551"/>
      <c r="N15" s="553"/>
      <c r="O15" s="555"/>
      <c r="P15" s="541"/>
      <c r="Q15" s="557"/>
      <c r="R15" s="537"/>
      <c r="S15" s="551"/>
      <c r="T15" s="553"/>
      <c r="U15" s="537"/>
      <c r="V15" s="561"/>
      <c r="W15" s="563"/>
      <c r="X15" s="537"/>
      <c r="Y15" s="551"/>
      <c r="Z15" s="553"/>
      <c r="AA15" s="537"/>
      <c r="AB15" s="561"/>
      <c r="AC15" s="537"/>
      <c r="AD15" s="559"/>
      <c r="AE15" s="2"/>
      <c r="AF15" s="2"/>
      <c r="AG15" s="2"/>
      <c r="AH15" s="2"/>
      <c r="AI15" s="2"/>
      <c r="AJ15" s="2"/>
    </row>
    <row r="16" spans="1:36" s="4" customFormat="1" x14ac:dyDescent="0.2">
      <c r="A16" s="127" t="s">
        <v>451</v>
      </c>
      <c r="B16" s="564" t="s">
        <v>452</v>
      </c>
      <c r="C16" s="567" t="s">
        <v>453</v>
      </c>
      <c r="D16" s="128" t="s">
        <v>454</v>
      </c>
      <c r="E16" s="129"/>
      <c r="F16" s="130"/>
      <c r="G16" s="67"/>
      <c r="H16" s="68">
        <v>4</v>
      </c>
      <c r="I16" s="131"/>
      <c r="J16" s="70">
        <v>6</v>
      </c>
      <c r="K16" s="132"/>
      <c r="L16" s="72">
        <v>5</v>
      </c>
      <c r="M16" s="133">
        <f>IF(H16+J16=0," ",H16*J16)</f>
        <v>24</v>
      </c>
      <c r="N16" s="134">
        <f>IF(H16+J16+L16=0,"-",H16*J16*L16)</f>
        <v>120</v>
      </c>
      <c r="O16" s="135"/>
      <c r="P16" s="65"/>
      <c r="Q16" s="136"/>
      <c r="R16" s="137">
        <v>4</v>
      </c>
      <c r="S16" s="138">
        <v>2</v>
      </c>
      <c r="T16" s="139">
        <v>1</v>
      </c>
      <c r="U16" s="140">
        <f>IF(R16+S16=0," ",R16*S16)</f>
        <v>8</v>
      </c>
      <c r="V16" s="134">
        <f>IF(R16+S16+T16=0,"-",R16*S16*T16)</f>
        <v>8</v>
      </c>
      <c r="W16" s="141"/>
      <c r="X16" s="137">
        <v>4</v>
      </c>
      <c r="Y16" s="138">
        <v>2</v>
      </c>
      <c r="Z16" s="139">
        <v>1</v>
      </c>
      <c r="AA16" s="140">
        <f>IF(X16+Y16=0," ",X16*Y16)</f>
        <v>8</v>
      </c>
      <c r="AB16" s="134">
        <f>IF(X16+Y16+Z16=0,"-",X16*Y16*Z16)</f>
        <v>8</v>
      </c>
      <c r="AC16" s="142" t="str">
        <f>IF(AB16="-",AD16,IF(AB16&gt;$AE$4,"Very High",IF(AB16&gt;$AE$3,"High",IF(AB16&gt;$AE$2,"Medium",IF(AB16&gt;0,"Low","")))))</f>
        <v>Low</v>
      </c>
      <c r="AD16" s="134" t="str">
        <f>IF(N16="-","-",IF(N16&gt;$AE$4,"Very High",IF(N16&gt;$AE$3,"High",IF(N16&gt;$AE$2,"Medium",IF(N16&gt;0,"Low","")))))</f>
        <v>Low</v>
      </c>
      <c r="AE16" s="2"/>
      <c r="AF16" s="2"/>
      <c r="AG16" s="2"/>
      <c r="AH16" s="2"/>
      <c r="AI16" s="2"/>
      <c r="AJ16" s="2"/>
    </row>
    <row r="17" spans="1:38" s="4" customFormat="1" x14ac:dyDescent="0.2">
      <c r="A17" s="63" t="s">
        <v>455</v>
      </c>
      <c r="B17" s="565"/>
      <c r="C17" s="568"/>
      <c r="D17" s="143" t="s">
        <v>456</v>
      </c>
      <c r="E17" s="89"/>
      <c r="F17" s="66"/>
      <c r="G17" s="84"/>
      <c r="H17" s="68">
        <v>1</v>
      </c>
      <c r="I17" s="82"/>
      <c r="J17" s="70">
        <v>1</v>
      </c>
      <c r="K17" s="83"/>
      <c r="L17" s="72">
        <v>1</v>
      </c>
      <c r="M17" s="73">
        <f>IF(H17+J17=0," ",H17*J17)</f>
        <v>1</v>
      </c>
      <c r="N17" s="74">
        <f t="shared" ref="N17:N42" si="0">IF(H17+J17+L17=0,"-",H17*J17*L17)</f>
        <v>1</v>
      </c>
      <c r="O17" s="85"/>
      <c r="P17" s="86"/>
      <c r="Q17" s="144"/>
      <c r="R17" s="75">
        <v>1</v>
      </c>
      <c r="S17" s="76">
        <v>1</v>
      </c>
      <c r="T17" s="77">
        <v>1</v>
      </c>
      <c r="U17" s="78">
        <f t="shared" ref="U17:U42" si="1">IF(R17+S17=0," ",R17*S17)</f>
        <v>1</v>
      </c>
      <c r="V17" s="74">
        <f t="shared" ref="V17:V42" si="2">IF(R17+S17+T17=0,"-",R17*S17*T17)</f>
        <v>1</v>
      </c>
      <c r="W17" s="79"/>
      <c r="X17" s="75">
        <v>1</v>
      </c>
      <c r="Y17" s="76">
        <v>1</v>
      </c>
      <c r="Z17" s="77">
        <v>1</v>
      </c>
      <c r="AA17" s="78">
        <f t="shared" ref="AA17:AA42" si="3">IF(X17+Y17=0," ",X17*Y17)</f>
        <v>1</v>
      </c>
      <c r="AB17" s="74">
        <f t="shared" ref="AB17:AB42" si="4">IF(X17+Y17+Z17=0,"-",X17*Y17*Z17)</f>
        <v>1</v>
      </c>
      <c r="AC17" s="80" t="str">
        <f t="shared" ref="AC17:AC42" si="5">IF(AB17="-",AD17,IF(AB17&gt;$AE$4,"Very High",IF(AB17&gt;$AE$3,"High",IF(AB17&gt;$AE$2,"Medium",IF(AB17&gt;0,"Low","")))))</f>
        <v>Low</v>
      </c>
      <c r="AD17" s="74" t="str">
        <f t="shared" ref="AD17:AD42" si="6">IF(N17="-","-",IF(N17&gt;$AE$4,"Very High",IF(N17&gt;$AE$3,"High",IF(N17&gt;$AE$2,"Medium",IF(N17&gt;0,"Low","")))))</f>
        <v>Low</v>
      </c>
      <c r="AE17" s="2"/>
      <c r="AF17" s="2"/>
      <c r="AG17" s="2"/>
      <c r="AH17" s="2"/>
      <c r="AI17" s="2"/>
      <c r="AJ17" s="2"/>
    </row>
    <row r="18" spans="1:38" s="4" customFormat="1" x14ac:dyDescent="0.2">
      <c r="A18" s="63" t="s">
        <v>457</v>
      </c>
      <c r="B18" s="565"/>
      <c r="C18" s="569"/>
      <c r="D18" s="143" t="s">
        <v>458</v>
      </c>
      <c r="E18" s="89"/>
      <c r="F18" s="66"/>
      <c r="G18" s="84"/>
      <c r="H18" s="68">
        <v>5</v>
      </c>
      <c r="I18" s="145"/>
      <c r="J18" s="70">
        <v>5</v>
      </c>
      <c r="K18" s="83"/>
      <c r="L18" s="72">
        <v>10</v>
      </c>
      <c r="M18" s="73">
        <f t="shared" ref="M18:M41" si="7">IF(H18+J18=0," ",H18*J18)</f>
        <v>25</v>
      </c>
      <c r="N18" s="74">
        <f t="shared" si="0"/>
        <v>250</v>
      </c>
      <c r="O18" s="85"/>
      <c r="P18" s="86"/>
      <c r="Q18" s="144"/>
      <c r="R18" s="75">
        <v>5</v>
      </c>
      <c r="S18" s="76">
        <v>5</v>
      </c>
      <c r="T18" s="77">
        <v>2</v>
      </c>
      <c r="U18" s="78">
        <f t="shared" si="1"/>
        <v>25</v>
      </c>
      <c r="V18" s="74">
        <f t="shared" si="2"/>
        <v>50</v>
      </c>
      <c r="W18" s="79"/>
      <c r="X18" s="75">
        <v>5</v>
      </c>
      <c r="Y18" s="76">
        <v>5</v>
      </c>
      <c r="Z18" s="77">
        <v>2</v>
      </c>
      <c r="AA18" s="78">
        <f t="shared" si="3"/>
        <v>25</v>
      </c>
      <c r="AB18" s="74">
        <f t="shared" si="4"/>
        <v>50</v>
      </c>
      <c r="AC18" s="80" t="str">
        <f t="shared" si="5"/>
        <v>Low</v>
      </c>
      <c r="AD18" s="74" t="str">
        <f t="shared" si="6"/>
        <v>Medium</v>
      </c>
      <c r="AG18" s="2"/>
      <c r="AH18" s="2"/>
      <c r="AI18" s="2"/>
      <c r="AL18" s="81"/>
    </row>
    <row r="19" spans="1:38" s="4" customFormat="1" x14ac:dyDescent="0.2">
      <c r="A19" s="63" t="s">
        <v>459</v>
      </c>
      <c r="B19" s="565"/>
      <c r="C19" s="73" t="s">
        <v>460</v>
      </c>
      <c r="D19" s="143" t="s">
        <v>454</v>
      </c>
      <c r="E19" s="89"/>
      <c r="F19" s="66"/>
      <c r="G19" s="84"/>
      <c r="H19" s="68">
        <v>7</v>
      </c>
      <c r="I19" s="82"/>
      <c r="J19" s="70">
        <v>8</v>
      </c>
      <c r="K19" s="71"/>
      <c r="L19" s="72">
        <v>10</v>
      </c>
      <c r="M19" s="73">
        <f t="shared" si="7"/>
        <v>56</v>
      </c>
      <c r="N19" s="74">
        <f t="shared" si="0"/>
        <v>560</v>
      </c>
      <c r="O19" s="64"/>
      <c r="P19" s="86"/>
      <c r="Q19" s="86"/>
      <c r="R19" s="75">
        <v>7</v>
      </c>
      <c r="S19" s="76">
        <v>8</v>
      </c>
      <c r="T19" s="77">
        <v>6</v>
      </c>
      <c r="U19" s="78">
        <f t="shared" si="1"/>
        <v>56</v>
      </c>
      <c r="V19" s="74">
        <f t="shared" si="2"/>
        <v>336</v>
      </c>
      <c r="W19" s="87"/>
      <c r="X19" s="75">
        <v>7</v>
      </c>
      <c r="Y19" s="76">
        <v>8</v>
      </c>
      <c r="Z19" s="77">
        <v>2</v>
      </c>
      <c r="AA19" s="78">
        <f t="shared" si="3"/>
        <v>56</v>
      </c>
      <c r="AB19" s="74">
        <f t="shared" si="4"/>
        <v>112</v>
      </c>
      <c r="AC19" s="80" t="str">
        <f t="shared" si="5"/>
        <v>Low</v>
      </c>
      <c r="AD19" s="74" t="str">
        <f t="shared" si="6"/>
        <v>High</v>
      </c>
      <c r="AG19" s="2"/>
      <c r="AH19" s="2"/>
      <c r="AI19" s="2"/>
    </row>
    <row r="20" spans="1:38" s="4" customFormat="1" x14ac:dyDescent="0.2">
      <c r="A20" s="63" t="s">
        <v>461</v>
      </c>
      <c r="B20" s="565"/>
      <c r="C20" s="570" t="s">
        <v>462</v>
      </c>
      <c r="D20" s="143" t="s">
        <v>454</v>
      </c>
      <c r="E20" s="89"/>
      <c r="F20" s="66"/>
      <c r="G20" s="84"/>
      <c r="H20" s="68"/>
      <c r="I20" s="69"/>
      <c r="J20" s="70"/>
      <c r="K20" s="83"/>
      <c r="L20" s="72"/>
      <c r="M20" s="73" t="str">
        <f t="shared" si="7"/>
        <v xml:space="preserve"> </v>
      </c>
      <c r="N20" s="74" t="str">
        <f t="shared" si="0"/>
        <v>-</v>
      </c>
      <c r="O20" s="64"/>
      <c r="P20" s="86"/>
      <c r="Q20" s="144"/>
      <c r="R20" s="75"/>
      <c r="S20" s="76"/>
      <c r="T20" s="77"/>
      <c r="U20" s="78" t="str">
        <f t="shared" si="1"/>
        <v xml:space="preserve"> </v>
      </c>
      <c r="V20" s="74" t="str">
        <f t="shared" si="2"/>
        <v>-</v>
      </c>
      <c r="W20" s="87"/>
      <c r="X20" s="75"/>
      <c r="Y20" s="76"/>
      <c r="Z20" s="77"/>
      <c r="AA20" s="78" t="str">
        <f t="shared" si="3"/>
        <v xml:space="preserve"> </v>
      </c>
      <c r="AB20" s="74" t="str">
        <f t="shared" si="4"/>
        <v>-</v>
      </c>
      <c r="AC20" s="80" t="str">
        <f t="shared" si="5"/>
        <v>-</v>
      </c>
      <c r="AD20" s="74" t="str">
        <f t="shared" si="6"/>
        <v>-</v>
      </c>
      <c r="AG20" s="2"/>
      <c r="AH20" s="2"/>
      <c r="AI20" s="2"/>
      <c r="AL20" s="81"/>
    </row>
    <row r="21" spans="1:38" s="4" customFormat="1" ht="13.5" thickBot="1" x14ac:dyDescent="0.25">
      <c r="A21" s="63" t="s">
        <v>463</v>
      </c>
      <c r="B21" s="566"/>
      <c r="C21" s="569"/>
      <c r="D21" s="143" t="s">
        <v>456</v>
      </c>
      <c r="E21" s="89"/>
      <c r="F21" s="66"/>
      <c r="G21" s="84"/>
      <c r="H21" s="68"/>
      <c r="I21" s="69"/>
      <c r="J21" s="70"/>
      <c r="K21" s="83"/>
      <c r="L21" s="72"/>
      <c r="M21" s="73" t="str">
        <f t="shared" si="7"/>
        <v xml:space="preserve"> </v>
      </c>
      <c r="N21" s="74" t="str">
        <f t="shared" si="0"/>
        <v>-</v>
      </c>
      <c r="O21" s="64"/>
      <c r="P21" s="86"/>
      <c r="Q21" s="144"/>
      <c r="R21" s="75"/>
      <c r="S21" s="76"/>
      <c r="T21" s="77"/>
      <c r="U21" s="78" t="str">
        <f t="shared" si="1"/>
        <v xml:space="preserve"> </v>
      </c>
      <c r="V21" s="74" t="str">
        <f t="shared" si="2"/>
        <v>-</v>
      </c>
      <c r="W21" s="87"/>
      <c r="X21" s="75"/>
      <c r="Y21" s="76"/>
      <c r="Z21" s="77"/>
      <c r="AA21" s="78" t="str">
        <f t="shared" si="3"/>
        <v xml:space="preserve"> </v>
      </c>
      <c r="AB21" s="74" t="str">
        <f t="shared" si="4"/>
        <v>-</v>
      </c>
      <c r="AC21" s="80" t="str">
        <f t="shared" si="5"/>
        <v>-</v>
      </c>
      <c r="AD21" s="74" t="str">
        <f t="shared" si="6"/>
        <v>-</v>
      </c>
      <c r="AG21" s="2"/>
      <c r="AH21" s="2"/>
      <c r="AI21" s="2"/>
      <c r="AL21" s="81"/>
    </row>
    <row r="22" spans="1:38" s="4" customFormat="1" x14ac:dyDescent="0.2">
      <c r="A22" s="63" t="s">
        <v>464</v>
      </c>
      <c r="B22" s="564" t="s">
        <v>465</v>
      </c>
      <c r="C22" s="567" t="s">
        <v>453</v>
      </c>
      <c r="D22" s="128" t="s">
        <v>454</v>
      </c>
      <c r="E22" s="89"/>
      <c r="F22" s="66"/>
      <c r="G22" s="67"/>
      <c r="H22" s="68"/>
      <c r="I22" s="69"/>
      <c r="J22" s="70"/>
      <c r="K22" s="83"/>
      <c r="L22" s="72"/>
      <c r="M22" s="73" t="str">
        <f t="shared" si="7"/>
        <v xml:space="preserve"> </v>
      </c>
      <c r="N22" s="74" t="str">
        <f t="shared" si="0"/>
        <v>-</v>
      </c>
      <c r="O22" s="64"/>
      <c r="P22" s="86"/>
      <c r="Q22" s="144"/>
      <c r="R22" s="75"/>
      <c r="S22" s="76"/>
      <c r="T22" s="77"/>
      <c r="U22" s="78" t="str">
        <f t="shared" si="1"/>
        <v xml:space="preserve"> </v>
      </c>
      <c r="V22" s="74" t="str">
        <f t="shared" si="2"/>
        <v>-</v>
      </c>
      <c r="W22" s="87"/>
      <c r="X22" s="75"/>
      <c r="Y22" s="76"/>
      <c r="Z22" s="77"/>
      <c r="AA22" s="78" t="str">
        <f t="shared" si="3"/>
        <v xml:space="preserve"> </v>
      </c>
      <c r="AB22" s="74" t="str">
        <f t="shared" si="4"/>
        <v>-</v>
      </c>
      <c r="AC22" s="80" t="str">
        <f t="shared" si="5"/>
        <v>-</v>
      </c>
      <c r="AD22" s="74" t="str">
        <f t="shared" si="6"/>
        <v>-</v>
      </c>
      <c r="AG22" s="2"/>
      <c r="AH22" s="2"/>
      <c r="AI22" s="2"/>
      <c r="AL22" s="81"/>
    </row>
    <row r="23" spans="1:38" s="4" customFormat="1" x14ac:dyDescent="0.2">
      <c r="A23" s="63" t="s">
        <v>466</v>
      </c>
      <c r="B23" s="565"/>
      <c r="C23" s="568"/>
      <c r="D23" s="143" t="s">
        <v>456</v>
      </c>
      <c r="E23" s="89"/>
      <c r="F23" s="66"/>
      <c r="G23" s="67"/>
      <c r="H23" s="68"/>
      <c r="I23" s="69"/>
      <c r="J23" s="70"/>
      <c r="K23" s="83"/>
      <c r="L23" s="72"/>
      <c r="M23" s="73" t="str">
        <f t="shared" si="7"/>
        <v xml:space="preserve"> </v>
      </c>
      <c r="N23" s="74" t="str">
        <f t="shared" si="0"/>
        <v>-</v>
      </c>
      <c r="O23" s="64"/>
      <c r="P23" s="86"/>
      <c r="Q23" s="144"/>
      <c r="R23" s="75"/>
      <c r="S23" s="76"/>
      <c r="T23" s="77"/>
      <c r="U23" s="78" t="str">
        <f t="shared" si="1"/>
        <v xml:space="preserve"> </v>
      </c>
      <c r="V23" s="74" t="str">
        <f t="shared" si="2"/>
        <v>-</v>
      </c>
      <c r="W23" s="87"/>
      <c r="X23" s="75"/>
      <c r="Y23" s="76"/>
      <c r="Z23" s="77"/>
      <c r="AA23" s="78" t="str">
        <f t="shared" si="3"/>
        <v xml:space="preserve"> </v>
      </c>
      <c r="AB23" s="74" t="str">
        <f t="shared" si="4"/>
        <v>-</v>
      </c>
      <c r="AC23" s="80" t="str">
        <f t="shared" si="5"/>
        <v>-</v>
      </c>
      <c r="AD23" s="74" t="str">
        <f t="shared" si="6"/>
        <v>-</v>
      </c>
      <c r="AG23" s="2"/>
      <c r="AH23" s="2"/>
      <c r="AI23" s="2"/>
      <c r="AL23" s="81"/>
    </row>
    <row r="24" spans="1:38" s="4" customFormat="1" x14ac:dyDescent="0.2">
      <c r="A24" s="63" t="s">
        <v>467</v>
      </c>
      <c r="B24" s="565"/>
      <c r="C24" s="569"/>
      <c r="D24" s="143" t="s">
        <v>458</v>
      </c>
      <c r="E24" s="89"/>
      <c r="F24" s="66"/>
      <c r="G24" s="67"/>
      <c r="H24" s="68"/>
      <c r="I24" s="69"/>
      <c r="J24" s="70"/>
      <c r="K24" s="83"/>
      <c r="L24" s="72"/>
      <c r="M24" s="73" t="str">
        <f t="shared" si="7"/>
        <v xml:space="preserve"> </v>
      </c>
      <c r="N24" s="74" t="str">
        <f t="shared" si="0"/>
        <v>-</v>
      </c>
      <c r="O24" s="64"/>
      <c r="P24" s="86"/>
      <c r="Q24" s="144"/>
      <c r="R24" s="75"/>
      <c r="S24" s="76"/>
      <c r="T24" s="77"/>
      <c r="U24" s="78" t="str">
        <f t="shared" si="1"/>
        <v xml:space="preserve"> </v>
      </c>
      <c r="V24" s="74" t="str">
        <f t="shared" si="2"/>
        <v>-</v>
      </c>
      <c r="W24" s="87"/>
      <c r="X24" s="75"/>
      <c r="Y24" s="76"/>
      <c r="Z24" s="77"/>
      <c r="AA24" s="78" t="str">
        <f t="shared" si="3"/>
        <v xml:space="preserve"> </v>
      </c>
      <c r="AB24" s="74" t="str">
        <f t="shared" si="4"/>
        <v>-</v>
      </c>
      <c r="AC24" s="80" t="str">
        <f t="shared" si="5"/>
        <v>-</v>
      </c>
      <c r="AD24" s="74" t="str">
        <f t="shared" si="6"/>
        <v>-</v>
      </c>
      <c r="AG24" s="2"/>
      <c r="AH24" s="2"/>
      <c r="AI24" s="2"/>
      <c r="AL24" s="81"/>
    </row>
    <row r="25" spans="1:38" s="4" customFormat="1" x14ac:dyDescent="0.2">
      <c r="A25" s="63" t="s">
        <v>468</v>
      </c>
      <c r="B25" s="565"/>
      <c r="C25" s="73" t="s">
        <v>460</v>
      </c>
      <c r="D25" s="143" t="s">
        <v>454</v>
      </c>
      <c r="E25" s="89"/>
      <c r="F25" s="66"/>
      <c r="G25" s="67"/>
      <c r="H25" s="68"/>
      <c r="I25" s="69"/>
      <c r="J25" s="70"/>
      <c r="K25" s="83"/>
      <c r="L25" s="72"/>
      <c r="M25" s="73" t="str">
        <f t="shared" si="7"/>
        <v xml:space="preserve"> </v>
      </c>
      <c r="N25" s="74" t="str">
        <f t="shared" si="0"/>
        <v>-</v>
      </c>
      <c r="O25" s="64"/>
      <c r="P25" s="86"/>
      <c r="Q25" s="86"/>
      <c r="R25" s="75"/>
      <c r="S25" s="76"/>
      <c r="T25" s="77"/>
      <c r="U25" s="78" t="str">
        <f t="shared" si="1"/>
        <v xml:space="preserve"> </v>
      </c>
      <c r="V25" s="74" t="str">
        <f t="shared" si="2"/>
        <v>-</v>
      </c>
      <c r="W25" s="87"/>
      <c r="X25" s="75"/>
      <c r="Y25" s="76"/>
      <c r="Z25" s="77"/>
      <c r="AA25" s="78" t="str">
        <f t="shared" si="3"/>
        <v xml:space="preserve"> </v>
      </c>
      <c r="AB25" s="74" t="str">
        <f t="shared" si="4"/>
        <v>-</v>
      </c>
      <c r="AC25" s="80" t="str">
        <f t="shared" si="5"/>
        <v>-</v>
      </c>
      <c r="AD25" s="74" t="str">
        <f t="shared" si="6"/>
        <v>-</v>
      </c>
      <c r="AG25" s="2"/>
      <c r="AH25" s="2"/>
      <c r="AI25" s="2"/>
      <c r="AL25" s="81"/>
    </row>
    <row r="26" spans="1:38" s="4" customFormat="1" x14ac:dyDescent="0.2">
      <c r="A26" s="63" t="s">
        <v>469</v>
      </c>
      <c r="B26" s="565"/>
      <c r="C26" s="570" t="s">
        <v>462</v>
      </c>
      <c r="D26" s="143" t="s">
        <v>454</v>
      </c>
      <c r="E26" s="89"/>
      <c r="F26" s="66"/>
      <c r="G26" s="67"/>
      <c r="H26" s="68"/>
      <c r="I26" s="69"/>
      <c r="J26" s="70"/>
      <c r="K26" s="83"/>
      <c r="L26" s="72"/>
      <c r="M26" s="73" t="str">
        <f t="shared" si="7"/>
        <v xml:space="preserve"> </v>
      </c>
      <c r="N26" s="74" t="str">
        <f t="shared" si="0"/>
        <v>-</v>
      </c>
      <c r="O26" s="64"/>
      <c r="P26" s="86"/>
      <c r="Q26" s="86"/>
      <c r="R26" s="75"/>
      <c r="S26" s="76"/>
      <c r="T26" s="77"/>
      <c r="U26" s="78" t="str">
        <f t="shared" si="1"/>
        <v xml:space="preserve"> </v>
      </c>
      <c r="V26" s="74" t="str">
        <f t="shared" si="2"/>
        <v>-</v>
      </c>
      <c r="W26" s="87"/>
      <c r="X26" s="75"/>
      <c r="Y26" s="76"/>
      <c r="Z26" s="77"/>
      <c r="AA26" s="78" t="str">
        <f t="shared" si="3"/>
        <v xml:space="preserve"> </v>
      </c>
      <c r="AB26" s="74" t="str">
        <f t="shared" si="4"/>
        <v>-</v>
      </c>
      <c r="AC26" s="80" t="str">
        <f t="shared" si="5"/>
        <v>-</v>
      </c>
      <c r="AD26" s="74" t="str">
        <f t="shared" si="6"/>
        <v>-</v>
      </c>
      <c r="AG26" s="2"/>
      <c r="AH26" s="2"/>
      <c r="AI26" s="2"/>
      <c r="AL26" s="81"/>
    </row>
    <row r="27" spans="1:38" s="4" customFormat="1" x14ac:dyDescent="0.25">
      <c r="A27" s="63" t="s">
        <v>470</v>
      </c>
      <c r="B27" s="566"/>
      <c r="C27" s="569"/>
      <c r="D27" s="143" t="s">
        <v>456</v>
      </c>
      <c r="E27" s="89"/>
      <c r="F27" s="66"/>
      <c r="G27" s="67"/>
      <c r="H27" s="68"/>
      <c r="I27" s="69"/>
      <c r="J27" s="70"/>
      <c r="K27" s="83"/>
      <c r="L27" s="72"/>
      <c r="M27" s="73" t="str">
        <f t="shared" si="7"/>
        <v xml:space="preserve"> </v>
      </c>
      <c r="N27" s="74" t="str">
        <f t="shared" si="0"/>
        <v>-</v>
      </c>
      <c r="O27" s="64"/>
      <c r="P27" s="86"/>
      <c r="Q27" s="86"/>
      <c r="R27" s="75"/>
      <c r="S27" s="76"/>
      <c r="T27" s="77"/>
      <c r="U27" s="78" t="str">
        <f t="shared" si="1"/>
        <v xml:space="preserve"> </v>
      </c>
      <c r="V27" s="74" t="str">
        <f t="shared" si="2"/>
        <v>-</v>
      </c>
      <c r="W27" s="87"/>
      <c r="X27" s="75"/>
      <c r="Y27" s="76"/>
      <c r="Z27" s="77"/>
      <c r="AA27" s="78" t="str">
        <f t="shared" si="3"/>
        <v xml:space="preserve"> </v>
      </c>
      <c r="AB27" s="74" t="str">
        <f t="shared" si="4"/>
        <v>-</v>
      </c>
      <c r="AC27" s="80" t="str">
        <f t="shared" si="5"/>
        <v>-</v>
      </c>
      <c r="AD27" s="74" t="str">
        <f t="shared" si="6"/>
        <v>-</v>
      </c>
      <c r="AL27" s="81"/>
    </row>
    <row r="28" spans="1:38" s="4" customFormat="1" x14ac:dyDescent="0.25">
      <c r="A28" s="63" t="s">
        <v>471</v>
      </c>
      <c r="B28" s="146"/>
      <c r="C28" s="64"/>
      <c r="D28" s="88"/>
      <c r="E28" s="89"/>
      <c r="F28" s="66"/>
      <c r="G28" s="67"/>
      <c r="H28" s="68"/>
      <c r="I28" s="69"/>
      <c r="J28" s="70"/>
      <c r="K28" s="83"/>
      <c r="L28" s="72"/>
      <c r="M28" s="73" t="str">
        <f t="shared" si="7"/>
        <v xml:space="preserve"> </v>
      </c>
      <c r="N28" s="74" t="str">
        <f t="shared" si="0"/>
        <v>-</v>
      </c>
      <c r="O28" s="64"/>
      <c r="P28" s="86"/>
      <c r="Q28" s="86"/>
      <c r="R28" s="75"/>
      <c r="S28" s="76"/>
      <c r="T28" s="77"/>
      <c r="U28" s="78" t="str">
        <f t="shared" si="1"/>
        <v xml:space="preserve"> </v>
      </c>
      <c r="V28" s="74" t="str">
        <f t="shared" si="2"/>
        <v>-</v>
      </c>
      <c r="W28" s="87"/>
      <c r="X28" s="75"/>
      <c r="Y28" s="76"/>
      <c r="Z28" s="77"/>
      <c r="AA28" s="78" t="str">
        <f t="shared" si="3"/>
        <v xml:space="preserve"> </v>
      </c>
      <c r="AB28" s="74" t="str">
        <f t="shared" si="4"/>
        <v>-</v>
      </c>
      <c r="AC28" s="80" t="str">
        <f t="shared" si="5"/>
        <v>-</v>
      </c>
      <c r="AD28" s="74" t="str">
        <f t="shared" si="6"/>
        <v>-</v>
      </c>
      <c r="AL28" s="81"/>
    </row>
    <row r="29" spans="1:38" s="4" customFormat="1" x14ac:dyDescent="0.25">
      <c r="A29" s="63" t="s">
        <v>472</v>
      </c>
      <c r="B29" s="146"/>
      <c r="C29" s="64"/>
      <c r="D29" s="88"/>
      <c r="E29" s="89"/>
      <c r="F29" s="66"/>
      <c r="G29" s="67"/>
      <c r="H29" s="68"/>
      <c r="I29" s="69"/>
      <c r="J29" s="70"/>
      <c r="K29" s="83"/>
      <c r="L29" s="72"/>
      <c r="M29" s="73" t="str">
        <f t="shared" si="7"/>
        <v xml:space="preserve"> </v>
      </c>
      <c r="N29" s="74" t="str">
        <f t="shared" si="0"/>
        <v>-</v>
      </c>
      <c r="O29" s="64"/>
      <c r="P29" s="86"/>
      <c r="Q29" s="86"/>
      <c r="R29" s="75"/>
      <c r="S29" s="76"/>
      <c r="T29" s="77"/>
      <c r="U29" s="78" t="str">
        <f t="shared" si="1"/>
        <v xml:space="preserve"> </v>
      </c>
      <c r="V29" s="74" t="str">
        <f t="shared" si="2"/>
        <v>-</v>
      </c>
      <c r="W29" s="87"/>
      <c r="X29" s="75"/>
      <c r="Y29" s="76"/>
      <c r="Z29" s="77"/>
      <c r="AA29" s="78" t="str">
        <f t="shared" si="3"/>
        <v xml:space="preserve"> </v>
      </c>
      <c r="AB29" s="74" t="str">
        <f t="shared" si="4"/>
        <v>-</v>
      </c>
      <c r="AC29" s="80" t="str">
        <f t="shared" si="5"/>
        <v>-</v>
      </c>
      <c r="AD29" s="74" t="str">
        <f t="shared" si="6"/>
        <v>-</v>
      </c>
      <c r="AL29" s="81"/>
    </row>
    <row r="30" spans="1:38" s="4" customFormat="1" x14ac:dyDescent="0.25">
      <c r="A30" s="63" t="s">
        <v>473</v>
      </c>
      <c r="B30" s="146"/>
      <c r="C30" s="64"/>
      <c r="D30" s="88"/>
      <c r="E30" s="89"/>
      <c r="F30" s="66"/>
      <c r="G30" s="67"/>
      <c r="H30" s="68"/>
      <c r="I30" s="69"/>
      <c r="J30" s="70"/>
      <c r="K30" s="83"/>
      <c r="L30" s="72"/>
      <c r="M30" s="73" t="str">
        <f t="shared" si="7"/>
        <v xml:space="preserve"> </v>
      </c>
      <c r="N30" s="74" t="str">
        <f t="shared" si="0"/>
        <v>-</v>
      </c>
      <c r="O30" s="64"/>
      <c r="P30" s="86"/>
      <c r="Q30" s="86"/>
      <c r="R30" s="75"/>
      <c r="S30" s="76"/>
      <c r="T30" s="77"/>
      <c r="U30" s="78" t="str">
        <f t="shared" si="1"/>
        <v xml:space="preserve"> </v>
      </c>
      <c r="V30" s="74" t="str">
        <f t="shared" si="2"/>
        <v>-</v>
      </c>
      <c r="W30" s="87"/>
      <c r="X30" s="75"/>
      <c r="Y30" s="76"/>
      <c r="Z30" s="77"/>
      <c r="AA30" s="78" t="str">
        <f t="shared" si="3"/>
        <v xml:space="preserve"> </v>
      </c>
      <c r="AB30" s="74" t="str">
        <f t="shared" si="4"/>
        <v>-</v>
      </c>
      <c r="AC30" s="80" t="str">
        <f t="shared" si="5"/>
        <v>-</v>
      </c>
      <c r="AD30" s="74" t="str">
        <f t="shared" si="6"/>
        <v>-</v>
      </c>
      <c r="AL30" s="81"/>
    </row>
    <row r="31" spans="1:38" s="4" customFormat="1" x14ac:dyDescent="0.25">
      <c r="A31" s="63" t="s">
        <v>474</v>
      </c>
      <c r="B31" s="146"/>
      <c r="C31" s="64"/>
      <c r="D31" s="88"/>
      <c r="E31" s="89"/>
      <c r="F31" s="66"/>
      <c r="G31" s="67"/>
      <c r="H31" s="68"/>
      <c r="I31" s="69"/>
      <c r="J31" s="70"/>
      <c r="K31" s="83"/>
      <c r="L31" s="72"/>
      <c r="M31" s="73" t="str">
        <f t="shared" si="7"/>
        <v xml:space="preserve"> </v>
      </c>
      <c r="N31" s="74" t="str">
        <f t="shared" si="0"/>
        <v>-</v>
      </c>
      <c r="O31" s="64"/>
      <c r="P31" s="86"/>
      <c r="Q31" s="86"/>
      <c r="R31" s="75"/>
      <c r="S31" s="76"/>
      <c r="T31" s="77"/>
      <c r="U31" s="78" t="str">
        <f t="shared" si="1"/>
        <v xml:space="preserve"> </v>
      </c>
      <c r="V31" s="74" t="str">
        <f t="shared" si="2"/>
        <v>-</v>
      </c>
      <c r="W31" s="87"/>
      <c r="X31" s="75"/>
      <c r="Y31" s="76"/>
      <c r="Z31" s="77"/>
      <c r="AA31" s="78" t="str">
        <f t="shared" si="3"/>
        <v xml:space="preserve"> </v>
      </c>
      <c r="AB31" s="74" t="str">
        <f t="shared" si="4"/>
        <v>-</v>
      </c>
      <c r="AC31" s="80" t="str">
        <f t="shared" si="5"/>
        <v>-</v>
      </c>
      <c r="AD31" s="74" t="str">
        <f t="shared" si="6"/>
        <v>-</v>
      </c>
      <c r="AL31" s="81"/>
    </row>
    <row r="32" spans="1:38" s="4" customFormat="1" x14ac:dyDescent="0.25">
      <c r="A32" s="63" t="s">
        <v>475</v>
      </c>
      <c r="B32" s="146"/>
      <c r="C32" s="64"/>
      <c r="D32" s="88"/>
      <c r="E32" s="89"/>
      <c r="F32" s="66"/>
      <c r="G32" s="67"/>
      <c r="H32" s="68"/>
      <c r="I32" s="69"/>
      <c r="J32" s="70"/>
      <c r="K32" s="83"/>
      <c r="L32" s="72"/>
      <c r="M32" s="73" t="str">
        <f t="shared" si="7"/>
        <v xml:space="preserve"> </v>
      </c>
      <c r="N32" s="74" t="str">
        <f t="shared" si="0"/>
        <v>-</v>
      </c>
      <c r="O32" s="64"/>
      <c r="P32" s="86"/>
      <c r="Q32" s="86"/>
      <c r="R32" s="75"/>
      <c r="S32" s="76"/>
      <c r="T32" s="77"/>
      <c r="U32" s="78" t="str">
        <f t="shared" si="1"/>
        <v xml:space="preserve"> </v>
      </c>
      <c r="V32" s="74" t="str">
        <f t="shared" si="2"/>
        <v>-</v>
      </c>
      <c r="W32" s="87"/>
      <c r="X32" s="75"/>
      <c r="Y32" s="76"/>
      <c r="Z32" s="77"/>
      <c r="AA32" s="78" t="str">
        <f t="shared" si="3"/>
        <v xml:space="preserve"> </v>
      </c>
      <c r="AB32" s="74" t="str">
        <f t="shared" si="4"/>
        <v>-</v>
      </c>
      <c r="AC32" s="80" t="str">
        <f t="shared" si="5"/>
        <v>-</v>
      </c>
      <c r="AD32" s="74" t="str">
        <f t="shared" si="6"/>
        <v>-</v>
      </c>
      <c r="AL32" s="81"/>
    </row>
    <row r="33" spans="1:38" s="4" customFormat="1" x14ac:dyDescent="0.25">
      <c r="A33" s="63" t="s">
        <v>476</v>
      </c>
      <c r="B33" s="146"/>
      <c r="C33" s="64"/>
      <c r="D33" s="88"/>
      <c r="E33" s="89"/>
      <c r="F33" s="66"/>
      <c r="G33" s="67"/>
      <c r="H33" s="68"/>
      <c r="I33" s="69"/>
      <c r="J33" s="70"/>
      <c r="K33" s="83"/>
      <c r="L33" s="72"/>
      <c r="M33" s="73" t="str">
        <f t="shared" si="7"/>
        <v xml:space="preserve"> </v>
      </c>
      <c r="N33" s="74" t="str">
        <f t="shared" si="0"/>
        <v>-</v>
      </c>
      <c r="O33" s="64"/>
      <c r="P33" s="86"/>
      <c r="Q33" s="86"/>
      <c r="R33" s="75"/>
      <c r="S33" s="76"/>
      <c r="T33" s="77"/>
      <c r="U33" s="78" t="str">
        <f t="shared" si="1"/>
        <v xml:space="preserve"> </v>
      </c>
      <c r="V33" s="74" t="str">
        <f t="shared" si="2"/>
        <v>-</v>
      </c>
      <c r="W33" s="87"/>
      <c r="X33" s="75"/>
      <c r="Y33" s="76"/>
      <c r="Z33" s="77"/>
      <c r="AA33" s="78" t="str">
        <f t="shared" si="3"/>
        <v xml:space="preserve"> </v>
      </c>
      <c r="AB33" s="74" t="str">
        <f t="shared" si="4"/>
        <v>-</v>
      </c>
      <c r="AC33" s="80" t="str">
        <f t="shared" si="5"/>
        <v>-</v>
      </c>
      <c r="AD33" s="74" t="str">
        <f t="shared" si="6"/>
        <v>-</v>
      </c>
      <c r="AL33" s="81"/>
    </row>
    <row r="34" spans="1:38" s="4" customFormat="1" x14ac:dyDescent="0.25">
      <c r="A34" s="63" t="s">
        <v>477</v>
      </c>
      <c r="B34" s="146"/>
      <c r="C34" s="64"/>
      <c r="D34" s="88"/>
      <c r="E34" s="89"/>
      <c r="F34" s="66"/>
      <c r="G34" s="67"/>
      <c r="H34" s="68"/>
      <c r="I34" s="69"/>
      <c r="J34" s="70"/>
      <c r="K34" s="83"/>
      <c r="L34" s="72"/>
      <c r="M34" s="73" t="str">
        <f t="shared" si="7"/>
        <v xml:space="preserve"> </v>
      </c>
      <c r="N34" s="74" t="str">
        <f t="shared" si="0"/>
        <v>-</v>
      </c>
      <c r="O34" s="64"/>
      <c r="P34" s="86"/>
      <c r="Q34" s="86"/>
      <c r="R34" s="75"/>
      <c r="S34" s="76"/>
      <c r="T34" s="77"/>
      <c r="U34" s="78" t="str">
        <f t="shared" si="1"/>
        <v xml:space="preserve"> </v>
      </c>
      <c r="V34" s="74" t="str">
        <f t="shared" si="2"/>
        <v>-</v>
      </c>
      <c r="W34" s="87"/>
      <c r="X34" s="75"/>
      <c r="Y34" s="76"/>
      <c r="Z34" s="77"/>
      <c r="AA34" s="78" t="str">
        <f t="shared" si="3"/>
        <v xml:space="preserve"> </v>
      </c>
      <c r="AB34" s="74" t="str">
        <f t="shared" si="4"/>
        <v>-</v>
      </c>
      <c r="AC34" s="80" t="str">
        <f t="shared" si="5"/>
        <v>-</v>
      </c>
      <c r="AD34" s="74" t="str">
        <f t="shared" si="6"/>
        <v>-</v>
      </c>
      <c r="AL34" s="81"/>
    </row>
    <row r="35" spans="1:38" s="4" customFormat="1" x14ac:dyDescent="0.25">
      <c r="A35" s="63" t="s">
        <v>478</v>
      </c>
      <c r="B35" s="146"/>
      <c r="C35" s="64"/>
      <c r="D35" s="88"/>
      <c r="E35" s="89"/>
      <c r="F35" s="66"/>
      <c r="G35" s="67"/>
      <c r="H35" s="68"/>
      <c r="I35" s="69"/>
      <c r="J35" s="70"/>
      <c r="K35" s="83"/>
      <c r="L35" s="72"/>
      <c r="M35" s="73" t="str">
        <f t="shared" si="7"/>
        <v xml:space="preserve"> </v>
      </c>
      <c r="N35" s="74" t="str">
        <f t="shared" si="0"/>
        <v>-</v>
      </c>
      <c r="O35" s="64"/>
      <c r="P35" s="86"/>
      <c r="Q35" s="86"/>
      <c r="R35" s="75"/>
      <c r="S35" s="76"/>
      <c r="T35" s="77"/>
      <c r="U35" s="78" t="str">
        <f t="shared" si="1"/>
        <v xml:space="preserve"> </v>
      </c>
      <c r="V35" s="74" t="str">
        <f t="shared" si="2"/>
        <v>-</v>
      </c>
      <c r="W35" s="87"/>
      <c r="X35" s="75"/>
      <c r="Y35" s="76"/>
      <c r="Z35" s="77"/>
      <c r="AA35" s="78" t="str">
        <f t="shared" si="3"/>
        <v xml:space="preserve"> </v>
      </c>
      <c r="AB35" s="74" t="str">
        <f t="shared" si="4"/>
        <v>-</v>
      </c>
      <c r="AC35" s="80" t="str">
        <f t="shared" si="5"/>
        <v>-</v>
      </c>
      <c r="AD35" s="74" t="str">
        <f t="shared" si="6"/>
        <v>-</v>
      </c>
      <c r="AL35" s="81"/>
    </row>
    <row r="36" spans="1:38" s="4" customFormat="1" x14ac:dyDescent="0.25">
      <c r="A36" s="63" t="s">
        <v>479</v>
      </c>
      <c r="B36" s="146"/>
      <c r="C36" s="64"/>
      <c r="D36" s="88"/>
      <c r="E36" s="89"/>
      <c r="F36" s="66"/>
      <c r="G36" s="67"/>
      <c r="H36" s="68"/>
      <c r="I36" s="69"/>
      <c r="J36" s="70"/>
      <c r="K36" s="83"/>
      <c r="L36" s="72"/>
      <c r="M36" s="73" t="str">
        <f t="shared" si="7"/>
        <v xml:space="preserve"> </v>
      </c>
      <c r="N36" s="74" t="str">
        <f t="shared" si="0"/>
        <v>-</v>
      </c>
      <c r="O36" s="64"/>
      <c r="P36" s="86"/>
      <c r="Q36" s="86"/>
      <c r="R36" s="75"/>
      <c r="S36" s="76"/>
      <c r="T36" s="77"/>
      <c r="U36" s="78" t="str">
        <f t="shared" si="1"/>
        <v xml:space="preserve"> </v>
      </c>
      <c r="V36" s="74" t="str">
        <f t="shared" si="2"/>
        <v>-</v>
      </c>
      <c r="W36" s="87"/>
      <c r="X36" s="75"/>
      <c r="Y36" s="76"/>
      <c r="Z36" s="77"/>
      <c r="AA36" s="78" t="str">
        <f t="shared" si="3"/>
        <v xml:space="preserve"> </v>
      </c>
      <c r="AB36" s="74" t="str">
        <f t="shared" si="4"/>
        <v>-</v>
      </c>
      <c r="AC36" s="80" t="str">
        <f t="shared" si="5"/>
        <v>-</v>
      </c>
      <c r="AD36" s="74" t="str">
        <f t="shared" si="6"/>
        <v>-</v>
      </c>
      <c r="AL36" s="81"/>
    </row>
    <row r="37" spans="1:38" s="4" customFormat="1" x14ac:dyDescent="0.25">
      <c r="A37" s="63" t="s">
        <v>480</v>
      </c>
      <c r="B37" s="146"/>
      <c r="C37" s="64"/>
      <c r="D37" s="88"/>
      <c r="E37" s="89"/>
      <c r="F37" s="66"/>
      <c r="G37" s="67"/>
      <c r="H37" s="68"/>
      <c r="I37" s="69"/>
      <c r="J37" s="70"/>
      <c r="K37" s="83"/>
      <c r="L37" s="72"/>
      <c r="M37" s="73" t="str">
        <f t="shared" si="7"/>
        <v xml:space="preserve"> </v>
      </c>
      <c r="N37" s="74" t="str">
        <f t="shared" si="0"/>
        <v>-</v>
      </c>
      <c r="O37" s="64"/>
      <c r="P37" s="86"/>
      <c r="Q37" s="86"/>
      <c r="R37" s="75"/>
      <c r="S37" s="76"/>
      <c r="T37" s="77"/>
      <c r="U37" s="78" t="str">
        <f t="shared" si="1"/>
        <v xml:space="preserve"> </v>
      </c>
      <c r="V37" s="74" t="str">
        <f t="shared" si="2"/>
        <v>-</v>
      </c>
      <c r="W37" s="87"/>
      <c r="X37" s="75"/>
      <c r="Y37" s="76"/>
      <c r="Z37" s="77"/>
      <c r="AA37" s="78" t="str">
        <f t="shared" si="3"/>
        <v xml:space="preserve"> </v>
      </c>
      <c r="AB37" s="74" t="str">
        <f t="shared" si="4"/>
        <v>-</v>
      </c>
      <c r="AC37" s="80" t="str">
        <f t="shared" si="5"/>
        <v>-</v>
      </c>
      <c r="AD37" s="74" t="str">
        <f t="shared" si="6"/>
        <v>-</v>
      </c>
      <c r="AL37" s="81"/>
    </row>
    <row r="38" spans="1:38" s="4" customFormat="1" x14ac:dyDescent="0.25">
      <c r="A38" s="63" t="s">
        <v>481</v>
      </c>
      <c r="B38" s="146"/>
      <c r="C38" s="64"/>
      <c r="D38" s="88"/>
      <c r="E38" s="89"/>
      <c r="F38" s="66"/>
      <c r="G38" s="67"/>
      <c r="H38" s="68"/>
      <c r="I38" s="69"/>
      <c r="J38" s="70"/>
      <c r="K38" s="83"/>
      <c r="L38" s="72"/>
      <c r="M38" s="73" t="str">
        <f t="shared" si="7"/>
        <v xml:space="preserve"> </v>
      </c>
      <c r="N38" s="74" t="str">
        <f t="shared" si="0"/>
        <v>-</v>
      </c>
      <c r="O38" s="64"/>
      <c r="P38" s="86"/>
      <c r="Q38" s="86"/>
      <c r="R38" s="75"/>
      <c r="S38" s="76"/>
      <c r="T38" s="77"/>
      <c r="U38" s="78" t="str">
        <f t="shared" si="1"/>
        <v xml:space="preserve"> </v>
      </c>
      <c r="V38" s="74" t="str">
        <f t="shared" si="2"/>
        <v>-</v>
      </c>
      <c r="W38" s="87"/>
      <c r="X38" s="75"/>
      <c r="Y38" s="76"/>
      <c r="Z38" s="77"/>
      <c r="AA38" s="78" t="str">
        <f t="shared" si="3"/>
        <v xml:space="preserve"> </v>
      </c>
      <c r="AB38" s="74" t="str">
        <f t="shared" si="4"/>
        <v>-</v>
      </c>
      <c r="AC38" s="80" t="str">
        <f t="shared" si="5"/>
        <v>-</v>
      </c>
      <c r="AD38" s="74" t="str">
        <f t="shared" si="6"/>
        <v>-</v>
      </c>
      <c r="AL38" s="81"/>
    </row>
    <row r="39" spans="1:38" s="4" customFormat="1" x14ac:dyDescent="0.25">
      <c r="A39" s="63" t="s">
        <v>482</v>
      </c>
      <c r="B39" s="146"/>
      <c r="C39" s="64"/>
      <c r="D39" s="88"/>
      <c r="E39" s="89"/>
      <c r="F39" s="66"/>
      <c r="G39" s="67"/>
      <c r="H39" s="68"/>
      <c r="I39" s="69"/>
      <c r="J39" s="70"/>
      <c r="K39" s="83"/>
      <c r="L39" s="72"/>
      <c r="M39" s="73" t="str">
        <f t="shared" si="7"/>
        <v xml:space="preserve"> </v>
      </c>
      <c r="N39" s="74" t="str">
        <f t="shared" si="0"/>
        <v>-</v>
      </c>
      <c r="O39" s="64"/>
      <c r="P39" s="86"/>
      <c r="Q39" s="86"/>
      <c r="R39" s="75"/>
      <c r="S39" s="76"/>
      <c r="T39" s="77"/>
      <c r="U39" s="78" t="str">
        <f t="shared" si="1"/>
        <v xml:space="preserve"> </v>
      </c>
      <c r="V39" s="74" t="str">
        <f t="shared" si="2"/>
        <v>-</v>
      </c>
      <c r="W39" s="87"/>
      <c r="X39" s="75"/>
      <c r="Y39" s="76"/>
      <c r="Z39" s="77"/>
      <c r="AA39" s="78" t="str">
        <f t="shared" si="3"/>
        <v xml:space="preserve"> </v>
      </c>
      <c r="AB39" s="74" t="str">
        <f t="shared" si="4"/>
        <v>-</v>
      </c>
      <c r="AC39" s="80" t="str">
        <f t="shared" si="5"/>
        <v>-</v>
      </c>
      <c r="AD39" s="74" t="str">
        <f t="shared" si="6"/>
        <v>-</v>
      </c>
      <c r="AL39" s="81"/>
    </row>
    <row r="40" spans="1:38" s="4" customFormat="1" x14ac:dyDescent="0.25">
      <c r="A40" s="63" t="s">
        <v>483</v>
      </c>
      <c r="B40" s="146"/>
      <c r="C40" s="64"/>
      <c r="D40" s="88"/>
      <c r="E40" s="89"/>
      <c r="F40" s="66"/>
      <c r="G40" s="67"/>
      <c r="H40" s="68"/>
      <c r="I40" s="69"/>
      <c r="J40" s="70"/>
      <c r="K40" s="83"/>
      <c r="L40" s="72"/>
      <c r="M40" s="73" t="str">
        <f t="shared" si="7"/>
        <v xml:space="preserve"> </v>
      </c>
      <c r="N40" s="74" t="str">
        <f t="shared" si="0"/>
        <v>-</v>
      </c>
      <c r="O40" s="64"/>
      <c r="P40" s="86"/>
      <c r="Q40" s="86"/>
      <c r="R40" s="75"/>
      <c r="S40" s="76"/>
      <c r="T40" s="77"/>
      <c r="U40" s="78" t="str">
        <f t="shared" si="1"/>
        <v xml:space="preserve"> </v>
      </c>
      <c r="V40" s="74" t="str">
        <f t="shared" si="2"/>
        <v>-</v>
      </c>
      <c r="W40" s="87"/>
      <c r="X40" s="75"/>
      <c r="Y40" s="76"/>
      <c r="Z40" s="77"/>
      <c r="AA40" s="78" t="str">
        <f t="shared" si="3"/>
        <v xml:space="preserve"> </v>
      </c>
      <c r="AB40" s="74" t="str">
        <f t="shared" si="4"/>
        <v>-</v>
      </c>
      <c r="AC40" s="80" t="str">
        <f t="shared" si="5"/>
        <v>-</v>
      </c>
      <c r="AD40" s="74" t="str">
        <f t="shared" si="6"/>
        <v>-</v>
      </c>
      <c r="AL40" s="81"/>
    </row>
    <row r="41" spans="1:38" s="4" customFormat="1" x14ac:dyDescent="0.25">
      <c r="A41" s="63" t="s">
        <v>484</v>
      </c>
      <c r="B41" s="146"/>
      <c r="C41" s="64"/>
      <c r="D41" s="88"/>
      <c r="E41" s="89"/>
      <c r="F41" s="66"/>
      <c r="G41" s="67"/>
      <c r="H41" s="68"/>
      <c r="I41" s="69"/>
      <c r="J41" s="70"/>
      <c r="K41" s="83"/>
      <c r="L41" s="72"/>
      <c r="M41" s="73" t="str">
        <f t="shared" si="7"/>
        <v xml:space="preserve"> </v>
      </c>
      <c r="N41" s="74" t="str">
        <f t="shared" si="0"/>
        <v>-</v>
      </c>
      <c r="O41" s="64"/>
      <c r="P41" s="86"/>
      <c r="Q41" s="86"/>
      <c r="R41" s="75"/>
      <c r="S41" s="76"/>
      <c r="T41" s="77"/>
      <c r="U41" s="78" t="str">
        <f t="shared" si="1"/>
        <v xml:space="preserve"> </v>
      </c>
      <c r="V41" s="74" t="str">
        <f t="shared" si="2"/>
        <v>-</v>
      </c>
      <c r="W41" s="87"/>
      <c r="X41" s="75"/>
      <c r="Y41" s="76"/>
      <c r="Z41" s="77"/>
      <c r="AA41" s="78" t="str">
        <f t="shared" si="3"/>
        <v xml:space="preserve"> </v>
      </c>
      <c r="AB41" s="74" t="str">
        <f t="shared" si="4"/>
        <v>-</v>
      </c>
      <c r="AC41" s="80" t="str">
        <f t="shared" si="5"/>
        <v>-</v>
      </c>
      <c r="AD41" s="74" t="str">
        <f t="shared" si="6"/>
        <v>-</v>
      </c>
      <c r="AL41" s="81"/>
    </row>
    <row r="42" spans="1:38" s="4" customFormat="1" ht="13.5" thickBot="1" x14ac:dyDescent="0.3">
      <c r="A42" s="90" t="s">
        <v>485</v>
      </c>
      <c r="B42" s="147"/>
      <c r="C42" s="91"/>
      <c r="D42" s="92"/>
      <c r="E42" s="93"/>
      <c r="F42" s="94"/>
      <c r="G42" s="95"/>
      <c r="H42" s="96"/>
      <c r="I42" s="97"/>
      <c r="J42" s="98"/>
      <c r="K42" s="99"/>
      <c r="L42" s="100"/>
      <c r="M42" s="101" t="str">
        <f>IF(H42+J42=0," ",H42*J42)</f>
        <v xml:space="preserve"> </v>
      </c>
      <c r="N42" s="102" t="str">
        <f t="shared" si="0"/>
        <v>-</v>
      </c>
      <c r="O42" s="91"/>
      <c r="P42" s="148"/>
      <c r="Q42" s="148"/>
      <c r="R42" s="103"/>
      <c r="S42" s="104"/>
      <c r="T42" s="100"/>
      <c r="U42" s="105" t="str">
        <f t="shared" si="1"/>
        <v xml:space="preserve"> </v>
      </c>
      <c r="V42" s="102" t="str">
        <f t="shared" si="2"/>
        <v>-</v>
      </c>
      <c r="W42" s="106"/>
      <c r="X42" s="103"/>
      <c r="Y42" s="104"/>
      <c r="Z42" s="100"/>
      <c r="AA42" s="105" t="str">
        <f t="shared" si="3"/>
        <v xml:space="preserve"> </v>
      </c>
      <c r="AB42" s="102" t="str">
        <f t="shared" si="4"/>
        <v>-</v>
      </c>
      <c r="AC42" s="107" t="str">
        <f t="shared" si="5"/>
        <v>-</v>
      </c>
      <c r="AD42" s="102" t="str">
        <f t="shared" si="6"/>
        <v>-</v>
      </c>
      <c r="AL42" s="81"/>
    </row>
    <row r="43" spans="1:38" ht="35.1" customHeight="1" x14ac:dyDescent="0.2">
      <c r="AL43" s="81"/>
    </row>
    <row r="44" spans="1:38" ht="35.1" customHeight="1" x14ac:dyDescent="0.2">
      <c r="AL44" s="81"/>
    </row>
    <row r="45" spans="1:38" ht="35.1" customHeight="1" x14ac:dyDescent="0.2">
      <c r="AL45" s="81"/>
    </row>
    <row r="46" spans="1:38" ht="35.1" customHeight="1" x14ac:dyDescent="0.2">
      <c r="AL46" s="81"/>
    </row>
    <row r="47" spans="1:38" ht="41.25" customHeight="1" x14ac:dyDescent="0.2">
      <c r="AL47" s="81"/>
    </row>
    <row r="48" spans="1:38" ht="40.5" customHeight="1" x14ac:dyDescent="0.2">
      <c r="AL48" s="81"/>
    </row>
    <row r="49" spans="38:38" ht="35.1" customHeight="1" x14ac:dyDescent="0.2">
      <c r="AL49" s="81"/>
    </row>
    <row r="50" spans="38:38" ht="17.25" customHeight="1" x14ac:dyDescent="0.2"/>
    <row r="51" spans="38:38" ht="35.1" customHeight="1" x14ac:dyDescent="0.2"/>
    <row r="52" spans="38:38" ht="12.75" customHeight="1" x14ac:dyDescent="0.2"/>
    <row r="53" spans="38:38" ht="35.1" customHeight="1" x14ac:dyDescent="0.2"/>
    <row r="54" spans="38:38" ht="35.1" customHeight="1" x14ac:dyDescent="0.2"/>
    <row r="55" spans="38:38" ht="35.1" customHeight="1" x14ac:dyDescent="0.2"/>
    <row r="56" spans="38:38" ht="35.1" customHeight="1" x14ac:dyDescent="0.2"/>
  </sheetData>
  <mergeCells count="46">
    <mergeCell ref="B16:B21"/>
    <mergeCell ref="C16:C18"/>
    <mergeCell ref="C20:C21"/>
    <mergeCell ref="B22:B27"/>
    <mergeCell ref="C22:C24"/>
    <mergeCell ref="C26:C27"/>
    <mergeCell ref="AD14:AD15"/>
    <mergeCell ref="S14:S15"/>
    <mergeCell ref="T14:T15"/>
    <mergeCell ref="U14:U15"/>
    <mergeCell ref="V14:V15"/>
    <mergeCell ref="W14:W15"/>
    <mergeCell ref="X14:X15"/>
    <mergeCell ref="Y14:Y15"/>
    <mergeCell ref="Z14:Z15"/>
    <mergeCell ref="AA14:AA15"/>
    <mergeCell ref="AB14:AB15"/>
    <mergeCell ref="AC14:AC15"/>
    <mergeCell ref="R14:R15"/>
    <mergeCell ref="A14:A15"/>
    <mergeCell ref="E14:E15"/>
    <mergeCell ref="F14:F15"/>
    <mergeCell ref="G14:G15"/>
    <mergeCell ref="I14:I15"/>
    <mergeCell ref="K14:K15"/>
    <mergeCell ref="M14:M15"/>
    <mergeCell ref="N14:N15"/>
    <mergeCell ref="O14:O15"/>
    <mergeCell ref="P14:P15"/>
    <mergeCell ref="Q14:Q15"/>
    <mergeCell ref="G4:I5"/>
    <mergeCell ref="L4:N4"/>
    <mergeCell ref="T4:U4"/>
    <mergeCell ref="Z4:AA4"/>
    <mergeCell ref="AB4:AD4"/>
    <mergeCell ref="L5:N5"/>
    <mergeCell ref="T5:U5"/>
    <mergeCell ref="Z5:AA5"/>
    <mergeCell ref="AB5:AD5"/>
    <mergeCell ref="Z1:AD1"/>
    <mergeCell ref="T2:U2"/>
    <mergeCell ref="Z2:AA2"/>
    <mergeCell ref="AB2:AD2"/>
    <mergeCell ref="T3:U3"/>
    <mergeCell ref="Z3:AA3"/>
    <mergeCell ref="AB3:AD3"/>
  </mergeCells>
  <conditionalFormatting sqref="N16:N42">
    <cfRule type="cellIs" dxfId="22" priority="6" stopIfTrue="1" operator="equal">
      <formula>"-"</formula>
    </cfRule>
    <cfRule type="expression" dxfId="21" priority="7" stopIfTrue="1">
      <formula>$N16&gt;$AE$4</formula>
    </cfRule>
    <cfRule type="expression" dxfId="20" priority="8" stopIfTrue="1">
      <formula>$N16&gt;$AE$3</formula>
    </cfRule>
    <cfRule type="expression" dxfId="19" priority="9" stopIfTrue="1">
      <formula>$N16&gt;$AE$2</formula>
    </cfRule>
    <cfRule type="expression" dxfId="18" priority="10" stopIfTrue="1">
      <formula>$N16&gt;0</formula>
    </cfRule>
  </conditionalFormatting>
  <conditionalFormatting sqref="N17:N42">
    <cfRule type="expression" dxfId="17" priority="24" stopIfTrue="1">
      <formula>$N17="-"</formula>
    </cfRule>
    <cfRule type="expression" dxfId="16" priority="25" stopIfTrue="1">
      <formula>$N17&gt;749</formula>
    </cfRule>
    <cfRule type="expression" dxfId="15" priority="26" stopIfTrue="1">
      <formula>$N17&gt;499</formula>
    </cfRule>
    <cfRule type="expression" dxfId="14" priority="27" stopIfTrue="1">
      <formula>$N17&gt;249</formula>
    </cfRule>
  </conditionalFormatting>
  <conditionalFormatting sqref="V16:V42">
    <cfRule type="cellIs" dxfId="13" priority="1" stopIfTrue="1" operator="equal">
      <formula>"-"</formula>
    </cfRule>
    <cfRule type="expression" dxfId="12" priority="2" stopIfTrue="1">
      <formula>$V16&gt;749</formula>
    </cfRule>
    <cfRule type="expression" dxfId="11" priority="3" stopIfTrue="1">
      <formula>$V16&gt;499</formula>
    </cfRule>
    <cfRule type="expression" dxfId="10" priority="4" stopIfTrue="1">
      <formula>$V16&gt;249</formula>
    </cfRule>
    <cfRule type="expression" dxfId="9" priority="5" stopIfTrue="1">
      <formula>$V16&gt;0</formula>
    </cfRule>
  </conditionalFormatting>
  <conditionalFormatting sqref="AB16:AB42">
    <cfRule type="cellIs" dxfId="8" priority="19" stopIfTrue="1" operator="equal">
      <formula>"-"</formula>
    </cfRule>
    <cfRule type="expression" dxfId="7" priority="20" stopIfTrue="1">
      <formula>$AB16&gt;$AE$4</formula>
    </cfRule>
    <cfRule type="expression" dxfId="6" priority="21" stopIfTrue="1">
      <formula>$AB16&gt;$AE$3</formula>
    </cfRule>
    <cfRule type="expression" dxfId="5" priority="22" stopIfTrue="1">
      <formula>$AB16&gt;$AE$2</formula>
    </cfRule>
    <cfRule type="expression" dxfId="4" priority="23" stopIfTrue="1">
      <formula>$AB16&gt;0</formula>
    </cfRule>
  </conditionalFormatting>
  <conditionalFormatting sqref="AC16:AD42">
    <cfRule type="cellIs" dxfId="3" priority="11" stopIfTrue="1" operator="equal">
      <formula>"Low"</formula>
    </cfRule>
    <cfRule type="cellIs" dxfId="2" priority="12" stopIfTrue="1" operator="equal">
      <formula>"Very High"</formula>
    </cfRule>
    <cfRule type="cellIs" dxfId="1" priority="13" stopIfTrue="1" operator="equal">
      <formula>"High"</formula>
    </cfRule>
    <cfRule type="cellIs" dxfId="0" priority="14" stopIfTrue="1" operator="equal">
      <formula>"Medium"</formula>
    </cfRule>
  </conditionalFormatting>
  <dataValidations count="1">
    <dataValidation type="list" allowBlank="1" showInputMessage="1" showErrorMessage="1" sqref="L16:L42 R16:T42 H16:H42 J16:J42 X16:Z42" xr:uid="{C8C8FB30-E9D1-4809-BAA0-37F2BDF6339A}">
      <formula1>$AF$2:$AF$11</formula1>
    </dataValidation>
  </dataValidations>
  <pageMargins left="0.78740157480314965" right="0.78740157480314965" top="0.98425196850393704" bottom="0.98425196850393704" header="0.51181102362204722" footer="0.51181102362204722"/>
  <pageSetup paperSize="9" scale="78" orientation="portrait" r:id="rId1"/>
  <headerFooter alignWithMargins="0">
    <oddHeader>&amp;LSOGECLAIR AEROSPACE&amp;CRISKS ASSESSMENT&amp;RPROJECT "XXX"</oddHeader>
    <oddFooter>&amp;Lsga_fr0_001/16.10.12&amp;R&amp;P / &amp;N</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69A9-56A4-421F-8D2B-B9735B3EEB2B}">
  <dimension ref="B1:L7"/>
  <sheetViews>
    <sheetView showGridLines="0" zoomScaleNormal="100" zoomScaleSheetLayoutView="100" workbookViewId="0">
      <selection activeCell="E61" sqref="E61"/>
    </sheetView>
  </sheetViews>
  <sheetFormatPr defaultColWidth="10.85546875" defaultRowHeight="12.75" x14ac:dyDescent="0.2"/>
  <cols>
    <col min="1" max="1" width="2.85546875" style="2" customWidth="1"/>
    <col min="2" max="2" width="10.85546875" style="2"/>
    <col min="3" max="3" width="4.28515625" style="2" customWidth="1"/>
    <col min="4" max="4" width="3.28515625" style="2" customWidth="1"/>
    <col min="5" max="12" width="10.85546875" style="2"/>
    <col min="13" max="13" width="1.5703125" style="2" customWidth="1"/>
    <col min="14" max="14" width="12.42578125" style="2" customWidth="1"/>
    <col min="15" max="16384" width="10.85546875" style="2"/>
  </cols>
  <sheetData>
    <row r="1" spans="2:12" ht="18" x14ac:dyDescent="0.25">
      <c r="E1" s="108"/>
    </row>
    <row r="2" spans="2:12" x14ac:dyDescent="0.2">
      <c r="E2" s="109" t="s">
        <v>486</v>
      </c>
    </row>
    <row r="3" spans="2:12" ht="25.5" x14ac:dyDescent="0.2">
      <c r="B3" s="110">
        <f ca="1">TODAY()</f>
        <v>46071</v>
      </c>
      <c r="E3" s="111" t="s">
        <v>487</v>
      </c>
      <c r="F3" s="112" t="s">
        <v>488</v>
      </c>
      <c r="G3" s="112"/>
      <c r="H3" s="112"/>
      <c r="I3" s="112"/>
      <c r="J3" s="112"/>
      <c r="K3" s="112"/>
      <c r="L3" s="112"/>
    </row>
    <row r="4" spans="2:12" ht="20.100000000000001" customHeight="1" x14ac:dyDescent="0.2">
      <c r="B4" s="113">
        <f>COUNTIF(Produit!AC16:AC42,"VERY HIGH")</f>
        <v>0</v>
      </c>
      <c r="D4" s="571" t="s">
        <v>298</v>
      </c>
      <c r="E4" s="114" t="s">
        <v>489</v>
      </c>
      <c r="F4" s="115">
        <v>0</v>
      </c>
      <c r="G4" s="115"/>
      <c r="H4" s="115"/>
      <c r="I4" s="113"/>
      <c r="J4" s="115"/>
      <c r="K4" s="115"/>
      <c r="L4" s="115"/>
    </row>
    <row r="5" spans="2:12" ht="20.100000000000001" customHeight="1" x14ac:dyDescent="0.2">
      <c r="B5" s="113">
        <f>COUNTIF(Produit!AC16:AC42,"HIGH")</f>
        <v>0</v>
      </c>
      <c r="D5" s="572"/>
      <c r="E5" s="114" t="s">
        <v>490</v>
      </c>
      <c r="F5" s="115">
        <v>1</v>
      </c>
      <c r="G5" s="115"/>
      <c r="H5" s="115"/>
      <c r="I5" s="113"/>
      <c r="J5" s="115"/>
      <c r="K5" s="115"/>
      <c r="L5" s="115"/>
    </row>
    <row r="6" spans="2:12" ht="20.100000000000001" customHeight="1" x14ac:dyDescent="0.2">
      <c r="B6" s="113">
        <f>COUNTIF(Produit!AC16:AC42,"MEDIUM")</f>
        <v>0</v>
      </c>
      <c r="D6" s="572"/>
      <c r="E6" s="114" t="s">
        <v>491</v>
      </c>
      <c r="F6" s="115">
        <v>1</v>
      </c>
      <c r="G6" s="115"/>
      <c r="H6" s="115"/>
      <c r="I6" s="113"/>
      <c r="J6" s="115"/>
      <c r="K6" s="115"/>
      <c r="L6" s="115"/>
    </row>
    <row r="7" spans="2:12" ht="20.100000000000001" customHeight="1" x14ac:dyDescent="0.2">
      <c r="B7" s="113">
        <f>COUNTIF(Produit!AC16:AC42,"LOW")</f>
        <v>4</v>
      </c>
      <c r="D7" s="573"/>
      <c r="E7" s="114" t="s">
        <v>492</v>
      </c>
      <c r="F7" s="115">
        <v>2</v>
      </c>
      <c r="G7" s="115"/>
      <c r="H7" s="115"/>
      <c r="I7" s="113"/>
      <c r="J7" s="115"/>
      <c r="K7" s="115"/>
      <c r="L7" s="115"/>
    </row>
  </sheetData>
  <mergeCells count="1">
    <mergeCell ref="D4:D7"/>
  </mergeCells>
  <printOptions horizontalCentered="1"/>
  <pageMargins left="0.78740157480314965" right="0.78740157480314965" top="0.98425196850393704" bottom="0.98425196850393704" header="0.51181102362204722" footer="0.51181102362204722"/>
  <pageSetup paperSize="9" scale="78" orientation="landscape" r:id="rId1"/>
  <headerFooter alignWithMargins="0">
    <oddHeader>&amp;LSOGECLAIR AEROSPACE&amp;CRISKS ASSESSMENT&amp;RPROJECT "XXX"</oddHeader>
    <oddFooter>&amp;Lsga_fr0_001/16.10.12&amp;R&amp;P /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68a59c0-75d8-48cf-a8b0-39a6d65571e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5E28810A37F74AB948AE34DD733908" ma:contentTypeVersion="11" ma:contentTypeDescription="Crée un document." ma:contentTypeScope="" ma:versionID="a9af923b11698e52edcfd4b31e490578">
  <xsd:schema xmlns:xsd="http://www.w3.org/2001/XMLSchema" xmlns:xs="http://www.w3.org/2001/XMLSchema" xmlns:p="http://schemas.microsoft.com/office/2006/metadata/properties" xmlns:ns2="a68a59c0-75d8-48cf-a8b0-39a6d65571e7" targetNamespace="http://schemas.microsoft.com/office/2006/metadata/properties" ma:root="true" ma:fieldsID="d2a819dc7bdaebb78577031c28164993" ns2:_="">
    <xsd:import namespace="a68a59c0-75d8-48cf-a8b0-39a6d65571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8a59c0-75d8-48cf-a8b0-39a6d65571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afbc0575-b692-48b3-94b0-968145802ef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9992B3-0D0A-42A8-9229-662793BD027C}">
  <ds:schemaRefs>
    <ds:schemaRef ds:uri="http://schemas.microsoft.com/office/2006/metadata/properties"/>
    <ds:schemaRef ds:uri="http://schemas.microsoft.com/office/infopath/2007/PartnerControls"/>
    <ds:schemaRef ds:uri="a68a59c0-75d8-48cf-a8b0-39a6d65571e7"/>
  </ds:schemaRefs>
</ds:datastoreItem>
</file>

<file path=customXml/itemProps2.xml><?xml version="1.0" encoding="utf-8"?>
<ds:datastoreItem xmlns:ds="http://schemas.openxmlformats.org/officeDocument/2006/customXml" ds:itemID="{64B48805-C4FD-4969-846E-6B980EB12FDA}">
  <ds:schemaRefs>
    <ds:schemaRef ds:uri="http://schemas.microsoft.com/sharepoint/v3/contenttype/forms"/>
  </ds:schemaRefs>
</ds:datastoreItem>
</file>

<file path=customXml/itemProps3.xml><?xml version="1.0" encoding="utf-8"?>
<ds:datastoreItem xmlns:ds="http://schemas.openxmlformats.org/officeDocument/2006/customXml" ds:itemID="{F04BBF1D-EAF3-4F93-88A3-30A5C0CFA5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8a59c0-75d8-48cf-a8b0-39a6d65571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Guide utilisateur</vt:lpstr>
      <vt:lpstr>Introduction</vt:lpstr>
      <vt:lpstr>Aide aux risques</vt:lpstr>
      <vt:lpstr>Risques et Actions</vt:lpstr>
      <vt:lpstr>AMDEC</vt:lpstr>
      <vt:lpstr>Facteurs de notation (AMDEC)</vt:lpstr>
      <vt:lpstr>Produit</vt:lpstr>
      <vt:lpstr>Produit rapport</vt:lpstr>
      <vt:lpstr>Catégories</vt:lpstr>
      <vt:lpstr>AMDEC!Print_Area</vt:lpstr>
      <vt:lpstr>'Produit rapport'!Print_Area</vt:lpstr>
      <vt:lpstr>'Risques et Actions'!Print_Area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Aude LEONARD</dc:creator>
  <cp:keywords/>
  <dc:description/>
  <cp:lastModifiedBy>Matt Hieu</cp:lastModifiedBy>
  <cp:revision/>
  <dcterms:created xsi:type="dcterms:W3CDTF">2021-09-24T14:39:07Z</dcterms:created>
  <dcterms:modified xsi:type="dcterms:W3CDTF">2026-02-18T12:52:46Z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0x0101006D5E28810A37F74AB948AE34DD733908</vt:lpwstr>
  </property>
  <property fmtid="{D5CDD505-2E9C-101B-9397-08002B2CF9AE}" pid="3" name="WorkbookGuid">
    <vt:lpwstr>2fdc03a2-1edc-4fe5-ac12-99a734d8026c</vt:lpwstr>
  </property>
  <property fmtid="{D5CDD505-2E9C-101B-9397-08002B2CF9AE}" pid="4" name="MediaServiceImageTags">
    <vt:lpwstr/>
  </property>
  <property fmtid="{D5CDD505-2E9C-101B-9397-08002B2CF9AE}" pid="5" name="Order">
    <vt:r8>6400</vt:r8>
  </property>
  <property fmtid="{D5CDD505-2E9C-101B-9397-08002B2CF9AE}" pid="6" name="xd_Signature">
    <vt:bool>false</vt:bool>
  </property>
  <property fmtid="{D5CDD505-2E9C-101B-9397-08002B2CF9AE}" pid="7" name="SharedWithUsers">
    <vt:lpwstr>7;#Pôle Consulting - Membres</vt:lpwstr>
  </property>
  <property fmtid="{D5CDD505-2E9C-101B-9397-08002B2CF9AE}" pid="8" name="xd_ProgID">
    <vt:lpwstr/>
  </property>
  <property fmtid="{D5CDD505-2E9C-101B-9397-08002B2CF9AE}" pid="9" name="_ExtendedDescription">
    <vt:lpwstr/>
  </property>
  <property fmtid="{D5CDD505-2E9C-101B-9397-08002B2CF9AE}" pid="10" name="TriggerFlowInfo">
    <vt:lpwstr/>
  </property>
  <property fmtid="{D5CDD505-2E9C-101B-9397-08002B2CF9AE}" pid="11" name="ComplianceAssetId">
    <vt:lpwstr/>
  </property>
  <property fmtid="{D5CDD505-2E9C-101B-9397-08002B2CF9AE}" pid="12" name="TemplateUrl">
    <vt:lpwstr/>
  </property>
</Properties>
</file>